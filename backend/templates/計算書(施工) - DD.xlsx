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Z:\CongTrinh\★サンプルフォルダー\施工\1.BIM施工図\【yyyymmdd】(設計図の日)\EXCEL\"/>
    </mc:Choice>
  </mc:AlternateContent>
  <xr:revisionPtr revIDLastSave="0" documentId="13_ncr:1_{FAB99C0A-4F5D-4F09-B36C-B1130F3D3B1A}" xr6:coauthVersionLast="47" xr6:coauthVersionMax="47" xr10:uidLastSave="{00000000-0000-0000-0000-000000000000}"/>
  <bookViews>
    <workbookView xWindow="28680" yWindow="-120" windowWidth="29040" windowHeight="15840" tabRatio="898" activeTab="1" xr2:uid="{00000000-000D-0000-FFFF-FFFF00000000}"/>
  </bookViews>
  <sheets>
    <sheet name="同時_h=m" sheetId="14" r:id="rId1"/>
    <sheet name="一次二次_h=m" sheetId="16" r:id="rId2"/>
    <sheet name="一次二次_h=m " sheetId="20" r:id="rId3"/>
    <sheet name="一次二次_h2=0.8m" sheetId="21" state="hidden" r:id="rId4"/>
    <sheet name="一次二次_h=0.7m" sheetId="22" state="hidden" r:id="rId5"/>
    <sheet name="一次二次_h=0.5m " sheetId="23" state="hidden" r:id="rId6"/>
    <sheet name="掘削深度_Templete" sheetId="17" r:id="rId7"/>
    <sheet name="Check Long Rebar" sheetId="19" state="hidden" r:id="rId8"/>
    <sheet name="データ" sheetId="18" state="hidden" r:id="rId9"/>
  </sheets>
  <definedNames>
    <definedName name="_xlnm._FilterDatabase" localSheetId="6" hidden="1">掘削深度_Templete!$A$9:$P$23</definedName>
    <definedName name="_xlnm.Print_Area" localSheetId="7">'Check Long Rebar'!$A$1:$H$35</definedName>
    <definedName name="_xlnm.Print_Area" localSheetId="5">'一次二次_h=0.5m '!$A$1:$U$50</definedName>
    <definedName name="_xlnm.Print_Area" localSheetId="4">'一次二次_h=0.7m'!$A$1:$U$50</definedName>
    <definedName name="_xlnm.Print_Area" localSheetId="1">'一次二次_h=m'!$A$1:$U$50</definedName>
    <definedName name="_xlnm.Print_Area" localSheetId="2">'一次二次_h=m '!$A$1:$U$50</definedName>
    <definedName name="_xlnm.Print_Area" localSheetId="3">'一次二次_h2=0.8m'!$A$1:$U$50</definedName>
    <definedName name="_xlnm.Print_Area" localSheetId="6">掘削深度_Templete!$A$1:$P$48</definedName>
    <definedName name="_xlnm.Print_Area" localSheetId="0">'同時_h=m'!$A$1:$U$50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16" l="1"/>
  <c r="I21" i="16" s="1"/>
  <c r="K20" i="16"/>
  <c r="I11" i="22"/>
  <c r="L47" i="23"/>
  <c r="U46" i="23"/>
  <c r="M46" i="23"/>
  <c r="L46" i="23"/>
  <c r="K46" i="23"/>
  <c r="L44" i="23"/>
  <c r="L43" i="23"/>
  <c r="K43" i="23"/>
  <c r="M43" i="23" s="1"/>
  <c r="L41" i="23"/>
  <c r="M40" i="23"/>
  <c r="L40" i="23"/>
  <c r="K40" i="23"/>
  <c r="R38" i="23"/>
  <c r="M38" i="23"/>
  <c r="M47" i="23" s="1"/>
  <c r="F38" i="23"/>
  <c r="M37" i="23"/>
  <c r="K37" i="23"/>
  <c r="F37" i="23"/>
  <c r="F39" i="23" s="1"/>
  <c r="F40" i="23" s="1"/>
  <c r="L30" i="23"/>
  <c r="U29" i="23"/>
  <c r="L29" i="23"/>
  <c r="M29" i="23" s="1"/>
  <c r="K29" i="23"/>
  <c r="L27" i="23"/>
  <c r="L26" i="23"/>
  <c r="M26" i="23" s="1"/>
  <c r="K26" i="23"/>
  <c r="R25" i="23"/>
  <c r="R24" i="23"/>
  <c r="L24" i="23"/>
  <c r="R23" i="23"/>
  <c r="M23" i="23"/>
  <c r="L23" i="23"/>
  <c r="K23" i="23"/>
  <c r="F23" i="23"/>
  <c r="F26" i="23" s="1"/>
  <c r="R22" i="23"/>
  <c r="F22" i="23"/>
  <c r="R21" i="23"/>
  <c r="R37" i="23" s="1"/>
  <c r="F21" i="23"/>
  <c r="R20" i="23"/>
  <c r="M20" i="23"/>
  <c r="K20" i="23"/>
  <c r="M21" i="23" s="1"/>
  <c r="F16" i="23"/>
  <c r="F15" i="23"/>
  <c r="F17" i="23" s="1"/>
  <c r="F25" i="23" s="1"/>
  <c r="L14" i="23"/>
  <c r="U13" i="23"/>
  <c r="L13" i="23"/>
  <c r="K13" i="23"/>
  <c r="L11" i="23"/>
  <c r="L10" i="23"/>
  <c r="K10" i="23"/>
  <c r="R8" i="23"/>
  <c r="L8" i="23"/>
  <c r="R7" i="23"/>
  <c r="R9" i="23" s="1"/>
  <c r="L7" i="23"/>
  <c r="K7" i="23"/>
  <c r="M7" i="23" s="1"/>
  <c r="R6" i="23"/>
  <c r="K4" i="23"/>
  <c r="M4" i="23" s="1"/>
  <c r="L47" i="22"/>
  <c r="U46" i="22"/>
  <c r="M46" i="22"/>
  <c r="L46" i="22"/>
  <c r="K46" i="22"/>
  <c r="L44" i="22"/>
  <c r="M43" i="22"/>
  <c r="L43" i="22"/>
  <c r="K43" i="22"/>
  <c r="L41" i="22"/>
  <c r="L40" i="22"/>
  <c r="K40" i="22"/>
  <c r="M40" i="22" s="1"/>
  <c r="F38" i="22"/>
  <c r="M37" i="22"/>
  <c r="K37" i="22"/>
  <c r="M38" i="22" s="1"/>
  <c r="F37" i="22"/>
  <c r="F39" i="22" s="1"/>
  <c r="F40" i="22" s="1"/>
  <c r="L30" i="22"/>
  <c r="U29" i="22"/>
  <c r="L29" i="22"/>
  <c r="M29" i="22" s="1"/>
  <c r="K29" i="22"/>
  <c r="L27" i="22"/>
  <c r="L26" i="22"/>
  <c r="K26" i="22"/>
  <c r="M26" i="22" s="1"/>
  <c r="R25" i="22"/>
  <c r="R24" i="22"/>
  <c r="L24" i="22"/>
  <c r="R23" i="22"/>
  <c r="M23" i="22"/>
  <c r="L23" i="22"/>
  <c r="K23" i="22"/>
  <c r="R22" i="22"/>
  <c r="R38" i="22" s="1"/>
  <c r="F22" i="22"/>
  <c r="R21" i="22"/>
  <c r="R37" i="22" s="1"/>
  <c r="F21" i="22"/>
  <c r="F23" i="22" s="1"/>
  <c r="F26" i="22" s="1"/>
  <c r="R20" i="22"/>
  <c r="K20" i="22"/>
  <c r="M21" i="22" s="1"/>
  <c r="F16" i="22"/>
  <c r="F15" i="22"/>
  <c r="F17" i="22" s="1"/>
  <c r="F25" i="22" s="1"/>
  <c r="L14" i="22"/>
  <c r="U13" i="22"/>
  <c r="L13" i="22"/>
  <c r="K13" i="22"/>
  <c r="L11" i="22"/>
  <c r="L10" i="22"/>
  <c r="K10" i="22"/>
  <c r="R8" i="22"/>
  <c r="L8" i="22"/>
  <c r="R7" i="22"/>
  <c r="R9" i="22" s="1"/>
  <c r="L7" i="22"/>
  <c r="K7" i="22"/>
  <c r="R6" i="22"/>
  <c r="K4" i="22"/>
  <c r="M5" i="22" s="1"/>
  <c r="L47" i="21"/>
  <c r="U46" i="21"/>
  <c r="M46" i="21"/>
  <c r="L46" i="21"/>
  <c r="K46" i="21"/>
  <c r="L44" i="21"/>
  <c r="L43" i="21"/>
  <c r="K43" i="21"/>
  <c r="M43" i="21" s="1"/>
  <c r="M41" i="21"/>
  <c r="L41" i="21"/>
  <c r="M40" i="21"/>
  <c r="L40" i="21"/>
  <c r="K40" i="21"/>
  <c r="M38" i="21"/>
  <c r="M47" i="21" s="1"/>
  <c r="F38" i="21"/>
  <c r="M37" i="21"/>
  <c r="K37" i="21"/>
  <c r="F37" i="21"/>
  <c r="F39" i="21" s="1"/>
  <c r="F40" i="21" s="1"/>
  <c r="L30" i="21"/>
  <c r="U29" i="21"/>
  <c r="L29" i="21"/>
  <c r="M29" i="21" s="1"/>
  <c r="K29" i="21"/>
  <c r="L27" i="21"/>
  <c r="L26" i="21"/>
  <c r="K26" i="21"/>
  <c r="M26" i="21" s="1"/>
  <c r="R25" i="21"/>
  <c r="R24" i="21"/>
  <c r="L24" i="21"/>
  <c r="R23" i="21"/>
  <c r="M23" i="21"/>
  <c r="L23" i="21"/>
  <c r="K23" i="21"/>
  <c r="R22" i="21"/>
  <c r="R38" i="21" s="1"/>
  <c r="F22" i="21"/>
  <c r="R21" i="21"/>
  <c r="R37" i="21" s="1"/>
  <c r="F21" i="21"/>
  <c r="F23" i="21" s="1"/>
  <c r="F26" i="21" s="1"/>
  <c r="R20" i="21"/>
  <c r="M20" i="21"/>
  <c r="K20" i="21"/>
  <c r="M21" i="21" s="1"/>
  <c r="F17" i="21"/>
  <c r="F25" i="21" s="1"/>
  <c r="F16" i="21"/>
  <c r="F15" i="21"/>
  <c r="L14" i="21"/>
  <c r="U13" i="21"/>
  <c r="L13" i="21"/>
  <c r="K13" i="21"/>
  <c r="L11" i="21"/>
  <c r="L10" i="21"/>
  <c r="K10" i="21"/>
  <c r="R8" i="21"/>
  <c r="L8" i="21"/>
  <c r="R7" i="21"/>
  <c r="R9" i="21" s="1"/>
  <c r="L7" i="21"/>
  <c r="K7" i="21"/>
  <c r="R6" i="21"/>
  <c r="K4" i="21"/>
  <c r="M5" i="21" s="1"/>
  <c r="L47" i="20"/>
  <c r="U46" i="20"/>
  <c r="M46" i="20"/>
  <c r="L46" i="20"/>
  <c r="K46" i="20"/>
  <c r="L44" i="20"/>
  <c r="L43" i="20"/>
  <c r="K43" i="20"/>
  <c r="M43" i="20" s="1"/>
  <c r="L41" i="20"/>
  <c r="M40" i="20"/>
  <c r="L40" i="20"/>
  <c r="K40" i="20"/>
  <c r="F40" i="20"/>
  <c r="F41" i="20" s="1"/>
  <c r="F39" i="20"/>
  <c r="M38" i="20"/>
  <c r="M47" i="20" s="1"/>
  <c r="F38" i="20"/>
  <c r="M37" i="20"/>
  <c r="K37" i="20"/>
  <c r="F37" i="20"/>
  <c r="L30" i="20"/>
  <c r="U29" i="20"/>
  <c r="L29" i="20"/>
  <c r="K29" i="20"/>
  <c r="M29" i="20" s="1"/>
  <c r="L27" i="20"/>
  <c r="L26" i="20"/>
  <c r="K26" i="20"/>
  <c r="M26" i="20" s="1"/>
  <c r="R25" i="20"/>
  <c r="R24" i="20"/>
  <c r="M24" i="20"/>
  <c r="L24" i="20"/>
  <c r="R23" i="20"/>
  <c r="M23" i="20"/>
  <c r="L23" i="20"/>
  <c r="K23" i="20"/>
  <c r="F23" i="20"/>
  <c r="F26" i="20" s="1"/>
  <c r="R22" i="20"/>
  <c r="R38" i="20" s="1"/>
  <c r="F22" i="20"/>
  <c r="R21" i="20"/>
  <c r="R37" i="20" s="1"/>
  <c r="M21" i="20"/>
  <c r="M30" i="20" s="1"/>
  <c r="F21" i="20"/>
  <c r="R20" i="20"/>
  <c r="M20" i="20"/>
  <c r="K20" i="20"/>
  <c r="F16" i="20"/>
  <c r="F15" i="20"/>
  <c r="L14" i="20"/>
  <c r="U13" i="20"/>
  <c r="L13" i="20"/>
  <c r="K13" i="20"/>
  <c r="L11" i="20"/>
  <c r="L10" i="20"/>
  <c r="K10" i="20"/>
  <c r="R8" i="20"/>
  <c r="L8" i="20"/>
  <c r="R7" i="20"/>
  <c r="R9" i="20" s="1"/>
  <c r="L7" i="20"/>
  <c r="K7" i="20"/>
  <c r="R6" i="20"/>
  <c r="K4" i="20"/>
  <c r="M5" i="20" s="1"/>
  <c r="M23" i="17"/>
  <c r="E42" i="17"/>
  <c r="J42" i="17" s="1"/>
  <c r="E44" i="17"/>
  <c r="J44" i="17" s="1"/>
  <c r="E47" i="17"/>
  <c r="J47" i="17" s="1"/>
  <c r="N34" i="17"/>
  <c r="N43" i="17"/>
  <c r="N48" i="17"/>
  <c r="N32" i="17"/>
  <c r="N22" i="17"/>
  <c r="N35" i="17"/>
  <c r="N44" i="17"/>
  <c r="N47" i="17"/>
  <c r="N41" i="17"/>
  <c r="N42" i="17"/>
  <c r="N28" i="17"/>
  <c r="N36" i="17"/>
  <c r="N29" i="17"/>
  <c r="N39" i="17"/>
  <c r="N20" i="17"/>
  <c r="N27" i="17"/>
  <c r="N30" i="17"/>
  <c r="N31" i="17"/>
  <c r="N40" i="17"/>
  <c r="N46" i="17"/>
  <c r="N23" i="17"/>
  <c r="N45" i="17"/>
  <c r="N33" i="17"/>
  <c r="N19" i="17"/>
  <c r="N37" i="17"/>
  <c r="N38" i="17"/>
  <c r="N10" i="17"/>
  <c r="N11" i="17"/>
  <c r="N12" i="17"/>
  <c r="N13" i="17"/>
  <c r="N14" i="17"/>
  <c r="N15" i="17"/>
  <c r="N16" i="17"/>
  <c r="N17" i="17"/>
  <c r="N18" i="17"/>
  <c r="E34" i="17"/>
  <c r="J34" i="17" s="1"/>
  <c r="K34" i="17" s="1"/>
  <c r="O34" i="17"/>
  <c r="E43" i="17"/>
  <c r="J43" i="17" s="1"/>
  <c r="O43" i="17"/>
  <c r="E25" i="17"/>
  <c r="J25" i="17" s="1"/>
  <c r="O25" i="17"/>
  <c r="E21" i="17"/>
  <c r="J21" i="17" s="1"/>
  <c r="N21" i="17" s="1"/>
  <c r="O21" i="17"/>
  <c r="E48" i="17"/>
  <c r="J48" i="17" s="1"/>
  <c r="K48" i="17" s="1"/>
  <c r="O48" i="17"/>
  <c r="E32" i="17"/>
  <c r="J32" i="17" s="1"/>
  <c r="O32" i="17"/>
  <c r="E26" i="17"/>
  <c r="J26" i="17" s="1"/>
  <c r="N26" i="17" s="1"/>
  <c r="O26" i="17"/>
  <c r="E22" i="17"/>
  <c r="J22" i="17" s="1"/>
  <c r="K22" i="17" s="1"/>
  <c r="O22" i="17"/>
  <c r="E35" i="17"/>
  <c r="J35" i="17" s="1"/>
  <c r="K35" i="17" s="1"/>
  <c r="O35" i="17"/>
  <c r="O44" i="17"/>
  <c r="O47" i="17"/>
  <c r="E41" i="17"/>
  <c r="J41" i="17" s="1"/>
  <c r="K41" i="17" s="1"/>
  <c r="L41" i="17" s="1"/>
  <c r="O41" i="17"/>
  <c r="O42" i="17"/>
  <c r="E28" i="17"/>
  <c r="J28" i="17" s="1"/>
  <c r="O28" i="17"/>
  <c r="E36" i="17"/>
  <c r="J36" i="17" s="1"/>
  <c r="K36" i="17" s="1"/>
  <c r="P36" i="17" s="1"/>
  <c r="O36" i="17"/>
  <c r="E29" i="17"/>
  <c r="J29" i="17" s="1"/>
  <c r="K29" i="17" s="1"/>
  <c r="P29" i="17" s="1"/>
  <c r="O29" i="17"/>
  <c r="E39" i="17"/>
  <c r="J39" i="17" s="1"/>
  <c r="K39" i="17" s="1"/>
  <c r="L39" i="17" s="1"/>
  <c r="O39" i="17"/>
  <c r="E20" i="17"/>
  <c r="J20" i="17" s="1"/>
  <c r="O20" i="17"/>
  <c r="E27" i="17"/>
  <c r="J27" i="17" s="1"/>
  <c r="O27" i="17"/>
  <c r="E30" i="17"/>
  <c r="J30" i="17" s="1"/>
  <c r="K30" i="17" s="1"/>
  <c r="P30" i="17" s="1"/>
  <c r="O30" i="17"/>
  <c r="E31" i="17"/>
  <c r="J31" i="17" s="1"/>
  <c r="O31" i="17"/>
  <c r="E40" i="17"/>
  <c r="J40" i="17" s="1"/>
  <c r="O40" i="17"/>
  <c r="E46" i="17"/>
  <c r="J46" i="17" s="1"/>
  <c r="K46" i="17" s="1"/>
  <c r="O46" i="17"/>
  <c r="E23" i="17"/>
  <c r="J23" i="17" s="1"/>
  <c r="O23" i="17"/>
  <c r="E45" i="17"/>
  <c r="J45" i="17" s="1"/>
  <c r="O45" i="17"/>
  <c r="E33" i="17"/>
  <c r="J33" i="17" s="1"/>
  <c r="O33" i="17"/>
  <c r="E19" i="17"/>
  <c r="J19" i="17" s="1"/>
  <c r="K19" i="17" s="1"/>
  <c r="O19" i="17"/>
  <c r="E37" i="17"/>
  <c r="J37" i="17" s="1"/>
  <c r="O37" i="17"/>
  <c r="E38" i="17"/>
  <c r="J38" i="17" s="1"/>
  <c r="O38" i="17"/>
  <c r="E10" i="17"/>
  <c r="J10" i="17"/>
  <c r="K10" i="17"/>
  <c r="P10" i="17" s="1"/>
  <c r="L10" i="17"/>
  <c r="M10" i="17"/>
  <c r="O10" i="17"/>
  <c r="E11" i="17"/>
  <c r="J11" i="17"/>
  <c r="K11" i="17"/>
  <c r="P11" i="17" s="1"/>
  <c r="L11" i="17"/>
  <c r="M11" i="17"/>
  <c r="O11" i="17"/>
  <c r="E12" i="17"/>
  <c r="J12" i="17"/>
  <c r="K12" i="17"/>
  <c r="P12" i="17" s="1"/>
  <c r="L12" i="17"/>
  <c r="M12" i="17"/>
  <c r="O12" i="17"/>
  <c r="E13" i="17"/>
  <c r="J13" i="17"/>
  <c r="K13" i="17"/>
  <c r="P13" i="17" s="1"/>
  <c r="L13" i="17"/>
  <c r="M13" i="17"/>
  <c r="O13" i="17"/>
  <c r="E14" i="17"/>
  <c r="J14" i="17"/>
  <c r="K14" i="17"/>
  <c r="P14" i="17" s="1"/>
  <c r="L14" i="17"/>
  <c r="M14" i="17"/>
  <c r="O14" i="17"/>
  <c r="E15" i="17"/>
  <c r="J15" i="17"/>
  <c r="K15" i="17"/>
  <c r="P15" i="17" s="1"/>
  <c r="L15" i="17"/>
  <c r="M15" i="17"/>
  <c r="O15" i="17"/>
  <c r="E16" i="17"/>
  <c r="J16" i="17"/>
  <c r="K16" i="17"/>
  <c r="P16" i="17" s="1"/>
  <c r="L16" i="17"/>
  <c r="M16" i="17"/>
  <c r="O16" i="17"/>
  <c r="E17" i="17"/>
  <c r="J17" i="17"/>
  <c r="K17" i="17"/>
  <c r="P17" i="17" s="1"/>
  <c r="L17" i="17"/>
  <c r="M17" i="17"/>
  <c r="O17" i="17"/>
  <c r="E18" i="17"/>
  <c r="J18" i="17" s="1"/>
  <c r="O18" i="17"/>
  <c r="O24" i="17"/>
  <c r="U46" i="14"/>
  <c r="U29" i="14"/>
  <c r="U13" i="14"/>
  <c r="U46" i="16"/>
  <c r="U29" i="16"/>
  <c r="U13" i="16"/>
  <c r="E24" i="17"/>
  <c r="D6" i="17"/>
  <c r="D5" i="17"/>
  <c r="D4" i="17"/>
  <c r="D3" i="17"/>
  <c r="G21" i="16" l="1"/>
  <c r="M4" i="20"/>
  <c r="M5" i="23"/>
  <c r="M8" i="23" s="1"/>
  <c r="F17" i="20"/>
  <c r="F25" i="20" s="1"/>
  <c r="R10" i="20" s="1"/>
  <c r="M10" i="21"/>
  <c r="M7" i="22"/>
  <c r="M10" i="22"/>
  <c r="M7" i="20"/>
  <c r="M10" i="20"/>
  <c r="M13" i="20"/>
  <c r="M13" i="23"/>
  <c r="M10" i="23"/>
  <c r="M13" i="22"/>
  <c r="M7" i="21"/>
  <c r="M13" i="21"/>
  <c r="R26" i="23"/>
  <c r="F29" i="23"/>
  <c r="F41" i="23"/>
  <c r="R43" i="23"/>
  <c r="R10" i="23"/>
  <c r="F28" i="23"/>
  <c r="M30" i="23"/>
  <c r="M27" i="23"/>
  <c r="M24" i="23"/>
  <c r="M41" i="23"/>
  <c r="M44" i="23"/>
  <c r="M8" i="22"/>
  <c r="M14" i="22"/>
  <c r="M11" i="22"/>
  <c r="M30" i="22"/>
  <c r="M24" i="22"/>
  <c r="M27" i="22"/>
  <c r="R26" i="22"/>
  <c r="F29" i="22"/>
  <c r="F41" i="22"/>
  <c r="R43" i="22"/>
  <c r="M47" i="22"/>
  <c r="M44" i="22"/>
  <c r="M41" i="22"/>
  <c r="R10" i="22"/>
  <c r="F28" i="22"/>
  <c r="M20" i="22"/>
  <c r="M4" i="22"/>
  <c r="R26" i="21"/>
  <c r="F29" i="21"/>
  <c r="F41" i="21"/>
  <c r="R43" i="21"/>
  <c r="R10" i="21"/>
  <c r="F28" i="21"/>
  <c r="M30" i="21"/>
  <c r="M24" i="21"/>
  <c r="M27" i="21"/>
  <c r="M8" i="21"/>
  <c r="M14" i="21"/>
  <c r="M11" i="21"/>
  <c r="M44" i="21"/>
  <c r="M4" i="21"/>
  <c r="M8" i="20"/>
  <c r="M14" i="20"/>
  <c r="M11" i="20"/>
  <c r="R44" i="20"/>
  <c r="F42" i="20"/>
  <c r="I42" i="20" s="1"/>
  <c r="U47" i="20" s="1"/>
  <c r="R26" i="20"/>
  <c r="F29" i="20"/>
  <c r="M27" i="20"/>
  <c r="M41" i="20"/>
  <c r="R43" i="20"/>
  <c r="M44" i="20"/>
  <c r="K18" i="17"/>
  <c r="K38" i="17"/>
  <c r="K37" i="17"/>
  <c r="K33" i="17"/>
  <c r="K45" i="17"/>
  <c r="P46" i="17"/>
  <c r="L46" i="17"/>
  <c r="M46" i="17" s="1"/>
  <c r="K23" i="17"/>
  <c r="K31" i="17"/>
  <c r="L31" i="17" s="1"/>
  <c r="M31" i="17" s="1"/>
  <c r="P35" i="17"/>
  <c r="L35" i="17"/>
  <c r="M35" i="17" s="1"/>
  <c r="P22" i="17"/>
  <c r="L22" i="17"/>
  <c r="M22" i="17" s="1"/>
  <c r="K25" i="17"/>
  <c r="P25" i="17" s="1"/>
  <c r="N25" i="17"/>
  <c r="L29" i="17"/>
  <c r="M29" i="17" s="1"/>
  <c r="K44" i="17"/>
  <c r="K47" i="17"/>
  <c r="K40" i="17"/>
  <c r="L30" i="17"/>
  <c r="M30" i="17" s="1"/>
  <c r="K27" i="17"/>
  <c r="K20" i="17"/>
  <c r="M39" i="17"/>
  <c r="P39" i="17"/>
  <c r="L36" i="17"/>
  <c r="M36" i="17" s="1"/>
  <c r="K28" i="17"/>
  <c r="K42" i="17"/>
  <c r="M41" i="17"/>
  <c r="P41" i="17"/>
  <c r="K26" i="17"/>
  <c r="K32" i="17"/>
  <c r="L48" i="17"/>
  <c r="M48" i="17" s="1"/>
  <c r="P48" i="17"/>
  <c r="L25" i="17"/>
  <c r="M25" i="17" s="1"/>
  <c r="K43" i="17"/>
  <c r="P34" i="17"/>
  <c r="L34" i="17"/>
  <c r="M34" i="17"/>
  <c r="K21" i="17"/>
  <c r="H34" i="19"/>
  <c r="F34" i="19"/>
  <c r="E34" i="19"/>
  <c r="H32" i="19"/>
  <c r="F32" i="19"/>
  <c r="E32" i="19"/>
  <c r="H30" i="19"/>
  <c r="F30" i="19"/>
  <c r="E30" i="19"/>
  <c r="H28" i="19"/>
  <c r="F28" i="19"/>
  <c r="E28" i="19"/>
  <c r="H26" i="19"/>
  <c r="F26" i="19"/>
  <c r="E26" i="19"/>
  <c r="H24" i="19"/>
  <c r="F24" i="19"/>
  <c r="E24" i="19"/>
  <c r="H22" i="19"/>
  <c r="F22" i="19"/>
  <c r="E22" i="19"/>
  <c r="H20" i="19"/>
  <c r="F20" i="19"/>
  <c r="E20" i="19"/>
  <c r="H18" i="19"/>
  <c r="F18" i="19"/>
  <c r="E18" i="19"/>
  <c r="H16" i="19"/>
  <c r="F16" i="19"/>
  <c r="E16" i="19"/>
  <c r="H14" i="19"/>
  <c r="F14" i="19"/>
  <c r="E14" i="19"/>
  <c r="H12" i="19"/>
  <c r="F12" i="19"/>
  <c r="E12" i="19"/>
  <c r="H10" i="19"/>
  <c r="F10" i="19"/>
  <c r="E10" i="19"/>
  <c r="H8" i="19"/>
  <c r="F8" i="19"/>
  <c r="E8" i="19"/>
  <c r="H6" i="19"/>
  <c r="F6" i="19"/>
  <c r="E6" i="19"/>
  <c r="H4" i="19"/>
  <c r="F4" i="19"/>
  <c r="E4" i="19"/>
  <c r="M11" i="23" l="1"/>
  <c r="M14" i="23"/>
  <c r="F28" i="20"/>
  <c r="R11" i="20" s="1"/>
  <c r="R44" i="23"/>
  <c r="F42" i="23"/>
  <c r="I42" i="23" s="1"/>
  <c r="U47" i="23" s="1"/>
  <c r="F32" i="23"/>
  <c r="I32" i="23" s="1"/>
  <c r="U30" i="23" s="1"/>
  <c r="R27" i="23"/>
  <c r="R11" i="23"/>
  <c r="F31" i="23"/>
  <c r="I31" i="23" s="1"/>
  <c r="U14" i="23" s="1"/>
  <c r="R11" i="22"/>
  <c r="F31" i="22"/>
  <c r="I31" i="22" s="1"/>
  <c r="U14" i="22" s="1"/>
  <c r="R44" i="22"/>
  <c r="F42" i="22"/>
  <c r="I42" i="22" s="1"/>
  <c r="U47" i="22" s="1"/>
  <c r="F32" i="22"/>
  <c r="I32" i="22" s="1"/>
  <c r="U30" i="22" s="1"/>
  <c r="R27" i="22"/>
  <c r="R11" i="21"/>
  <c r="F31" i="21"/>
  <c r="I31" i="21" s="1"/>
  <c r="U14" i="21" s="1"/>
  <c r="R44" i="21"/>
  <c r="F42" i="21"/>
  <c r="I42" i="21" s="1"/>
  <c r="U47" i="21" s="1"/>
  <c r="F32" i="21"/>
  <c r="I32" i="21" s="1"/>
  <c r="U30" i="21" s="1"/>
  <c r="R27" i="21"/>
  <c r="F32" i="20"/>
  <c r="I32" i="20" s="1"/>
  <c r="U30" i="20" s="1"/>
  <c r="R27" i="20"/>
  <c r="P18" i="17"/>
  <c r="L18" i="17"/>
  <c r="M18" i="17" s="1"/>
  <c r="P38" i="17"/>
  <c r="L38" i="17"/>
  <c r="M38" i="17" s="1"/>
  <c r="P37" i="17"/>
  <c r="L37" i="17"/>
  <c r="M37" i="17" s="1"/>
  <c r="P19" i="17"/>
  <c r="L19" i="17"/>
  <c r="M19" i="17" s="1"/>
  <c r="P33" i="17"/>
  <c r="L33" i="17"/>
  <c r="M33" i="17" s="1"/>
  <c r="P45" i="17"/>
  <c r="L45" i="17"/>
  <c r="M45" i="17" s="1"/>
  <c r="P23" i="17"/>
  <c r="L23" i="17"/>
  <c r="P31" i="17"/>
  <c r="P47" i="17"/>
  <c r="L47" i="17"/>
  <c r="M47" i="17" s="1"/>
  <c r="P44" i="17"/>
  <c r="L44" i="17"/>
  <c r="M44" i="17" s="1"/>
  <c r="P40" i="17"/>
  <c r="L40" i="17"/>
  <c r="M40" i="17" s="1"/>
  <c r="P27" i="17"/>
  <c r="L27" i="17"/>
  <c r="M27" i="17" s="1"/>
  <c r="L20" i="17"/>
  <c r="M20" i="17" s="1"/>
  <c r="P20" i="17"/>
  <c r="P28" i="17"/>
  <c r="L28" i="17"/>
  <c r="M28" i="17" s="1"/>
  <c r="P42" i="17"/>
  <c r="L42" i="17"/>
  <c r="M42" i="17" s="1"/>
  <c r="L26" i="17"/>
  <c r="M26" i="17" s="1"/>
  <c r="P26" i="17"/>
  <c r="L32" i="17"/>
  <c r="M32" i="17" s="1"/>
  <c r="P32" i="17"/>
  <c r="P43" i="17"/>
  <c r="L43" i="17"/>
  <c r="M43" i="17" s="1"/>
  <c r="L21" i="17"/>
  <c r="M21" i="17" s="1"/>
  <c r="P21" i="17"/>
  <c r="J24" i="17"/>
  <c r="N24" i="17" s="1"/>
  <c r="F31" i="20" l="1"/>
  <c r="I31" i="20" s="1"/>
  <c r="U14" i="20" s="1"/>
  <c r="U50" i="20" s="1"/>
  <c r="U50" i="23"/>
  <c r="U50" i="22"/>
  <c r="U50" i="21"/>
  <c r="K24" i="17"/>
  <c r="L24" i="17" s="1"/>
  <c r="P24" i="17" l="1"/>
  <c r="M24" i="17"/>
  <c r="F15" i="16"/>
  <c r="F16" i="14"/>
  <c r="F15" i="14"/>
  <c r="L47" i="16"/>
  <c r="L46" i="16"/>
  <c r="K46" i="16"/>
  <c r="F38" i="16"/>
  <c r="L44" i="16"/>
  <c r="F37" i="16"/>
  <c r="F39" i="16" s="1"/>
  <c r="F40" i="16" s="1"/>
  <c r="L43" i="16"/>
  <c r="K43" i="16"/>
  <c r="L41" i="16"/>
  <c r="L40" i="16"/>
  <c r="K40" i="16"/>
  <c r="R37" i="16"/>
  <c r="K37" i="16"/>
  <c r="M38" i="16" s="1"/>
  <c r="L30" i="16"/>
  <c r="L29" i="16"/>
  <c r="K29" i="16"/>
  <c r="L27" i="16"/>
  <c r="L26" i="16"/>
  <c r="K26" i="16"/>
  <c r="R24" i="16"/>
  <c r="L24" i="16"/>
  <c r="R23" i="16"/>
  <c r="R8" i="16" s="1"/>
  <c r="L23" i="16"/>
  <c r="K23" i="16"/>
  <c r="R22" i="16"/>
  <c r="R38" i="16" s="1"/>
  <c r="F22" i="16"/>
  <c r="R21" i="16"/>
  <c r="F21" i="16"/>
  <c r="R20" i="16"/>
  <c r="M21" i="16"/>
  <c r="M27" i="16" s="1"/>
  <c r="L14" i="16"/>
  <c r="L13" i="16"/>
  <c r="K13" i="16"/>
  <c r="L11" i="16"/>
  <c r="L10" i="16"/>
  <c r="K10" i="16"/>
  <c r="L8" i="16"/>
  <c r="R7" i="16"/>
  <c r="L7" i="16"/>
  <c r="K7" i="16"/>
  <c r="R6" i="16"/>
  <c r="K4" i="16"/>
  <c r="M5" i="16" l="1"/>
  <c r="H4" i="16"/>
  <c r="I5" i="16" s="1"/>
  <c r="M40" i="16"/>
  <c r="M46" i="16"/>
  <c r="M43" i="16"/>
  <c r="M26" i="16"/>
  <c r="M23" i="16"/>
  <c r="M29" i="16"/>
  <c r="M10" i="16"/>
  <c r="M7" i="16"/>
  <c r="R9" i="16"/>
  <c r="F23" i="16"/>
  <c r="F26" i="16" s="1"/>
  <c r="R25" i="16"/>
  <c r="M20" i="16"/>
  <c r="M44" i="16"/>
  <c r="M41" i="16"/>
  <c r="M47" i="16"/>
  <c r="M37" i="16"/>
  <c r="M13" i="16"/>
  <c r="F16" i="16"/>
  <c r="F17" i="16" s="1"/>
  <c r="F25" i="16" s="1"/>
  <c r="M14" i="16"/>
  <c r="M8" i="16"/>
  <c r="M11" i="16"/>
  <c r="F41" i="16"/>
  <c r="R43" i="16"/>
  <c r="M4" i="16"/>
  <c r="M30" i="16"/>
  <c r="M24" i="16"/>
  <c r="G5" i="16" l="1"/>
  <c r="F29" i="16"/>
  <c r="R10" i="16"/>
  <c r="F42" i="16"/>
  <c r="I42" i="16" s="1"/>
  <c r="U47" i="16" s="1"/>
  <c r="R44" i="16"/>
  <c r="F28" i="16" l="1"/>
  <c r="R11" i="16" s="1"/>
  <c r="R26" i="16"/>
  <c r="R27" i="16"/>
  <c r="F32" i="16"/>
  <c r="I32" i="16" s="1"/>
  <c r="U30" i="16" s="1"/>
  <c r="F31" i="16" l="1"/>
  <c r="I31" i="16" s="1"/>
  <c r="U14" i="16" s="1"/>
  <c r="U50" i="16" s="1"/>
  <c r="K46" i="14" l="1"/>
  <c r="M46" i="14" s="1"/>
  <c r="K43" i="14"/>
  <c r="M43" i="14" s="1"/>
  <c r="K40" i="14"/>
  <c r="K37" i="14"/>
  <c r="F48" i="14"/>
  <c r="F49" i="14" s="1"/>
  <c r="F47" i="14"/>
  <c r="F46" i="14"/>
  <c r="F45" i="14"/>
  <c r="F44" i="14"/>
  <c r="L47" i="14"/>
  <c r="L46" i="14"/>
  <c r="L44" i="14"/>
  <c r="L43" i="14"/>
  <c r="L41" i="14"/>
  <c r="L40" i="14"/>
  <c r="H25" i="14"/>
  <c r="H26" i="14"/>
  <c r="H27" i="14"/>
  <c r="H28" i="14"/>
  <c r="H29" i="14"/>
  <c r="G22" i="14"/>
  <c r="H22" i="14" s="1"/>
  <c r="G23" i="14"/>
  <c r="H23" i="14" s="1"/>
  <c r="G24" i="14"/>
  <c r="H24" i="14" s="1"/>
  <c r="G25" i="14"/>
  <c r="G26" i="14"/>
  <c r="G27" i="14"/>
  <c r="G28" i="14"/>
  <c r="G29" i="14"/>
  <c r="G21" i="14"/>
  <c r="H21" i="14" s="1"/>
  <c r="F22" i="14"/>
  <c r="F23" i="14"/>
  <c r="F24" i="14"/>
  <c r="F25" i="14"/>
  <c r="F26" i="14"/>
  <c r="F27" i="14"/>
  <c r="F28" i="14"/>
  <c r="F29" i="14"/>
  <c r="F21" i="14"/>
  <c r="M38" i="14" l="1"/>
  <c r="M37" i="14"/>
  <c r="M40" i="14"/>
  <c r="K13" i="14"/>
  <c r="K4" i="14"/>
  <c r="M47" i="14" l="1"/>
  <c r="M41" i="14"/>
  <c r="M44" i="14"/>
  <c r="H30" i="14"/>
  <c r="K20" i="14"/>
  <c r="L8" i="14" l="1"/>
  <c r="L30" i="14"/>
  <c r="L29" i="14"/>
  <c r="K29" i="14"/>
  <c r="L27" i="14"/>
  <c r="L26" i="14"/>
  <c r="K26" i="14"/>
  <c r="R24" i="14"/>
  <c r="L24" i="14"/>
  <c r="R23" i="14"/>
  <c r="R25" i="14" s="1"/>
  <c r="L23" i="14"/>
  <c r="K23" i="14"/>
  <c r="R22" i="14"/>
  <c r="R38" i="14" s="1"/>
  <c r="R21" i="14"/>
  <c r="R37" i="14" s="1"/>
  <c r="R20" i="14"/>
  <c r="L14" i="14"/>
  <c r="L13" i="14"/>
  <c r="L11" i="14"/>
  <c r="L10" i="14"/>
  <c r="K10" i="14"/>
  <c r="R7" i="14"/>
  <c r="L7" i="14"/>
  <c r="K7" i="14"/>
  <c r="R6" i="14"/>
  <c r="F30" i="14" l="1"/>
  <c r="E16" i="14" s="1"/>
  <c r="F17" i="14" s="1"/>
  <c r="F32" i="14" s="1"/>
  <c r="F35" i="14" s="1"/>
  <c r="M29" i="14"/>
  <c r="M4" i="14"/>
  <c r="M5" i="14"/>
  <c r="M11" i="14" s="1"/>
  <c r="R9" i="14"/>
  <c r="M23" i="14"/>
  <c r="R8" i="14"/>
  <c r="M26" i="14"/>
  <c r="M7" i="14"/>
  <c r="M13" i="14"/>
  <c r="M21" i="14"/>
  <c r="M10" i="14"/>
  <c r="M20" i="14"/>
  <c r="F33" i="14" l="1"/>
  <c r="F36" i="14" s="1"/>
  <c r="R27" i="14" s="1"/>
  <c r="M8" i="14"/>
  <c r="M14" i="14"/>
  <c r="R10" i="14"/>
  <c r="M27" i="14"/>
  <c r="M30" i="14"/>
  <c r="M24" i="14"/>
  <c r="F38" i="14"/>
  <c r="I38" i="14" s="1"/>
  <c r="U14" i="14" s="1"/>
  <c r="R11" i="14"/>
  <c r="R26" i="14" l="1"/>
  <c r="F39" i="14"/>
  <c r="I39" i="14" s="1"/>
  <c r="U30" i="14" s="1"/>
  <c r="R43" i="14" l="1"/>
  <c r="I49" i="14" l="1"/>
  <c r="R44" i="14"/>
  <c r="U47" i="14" l="1"/>
  <c r="U50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HaThu</author>
    <author>tc={9B56C79C-9437-40EC-B7C2-B2BE52540E6A}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DSC: Nhập tỷ lệ trộn xi măng-đất Lớp 1
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DSC: Nhập tỷ lệ trộn xi măng-đất Lớp 2</t>
        </r>
      </text>
    </comment>
    <comment ref="K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CD: Diện tích/Khối lượng BT</t>
        </r>
      </text>
    </comment>
    <comment ref="L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CD: Cạnh dự kiến</t>
        </r>
      </text>
    </comment>
    <comment ref="M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CD: Cạnh còn lại</t>
        </r>
      </text>
    </comment>
    <comment ref="L5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CD: Input Tổng Diện Tích</t>
        </r>
      </text>
    </comment>
    <comment ref="M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Tổng Khối lượng bê tông tương ứng với diện tích đã nhập</t>
        </r>
      </text>
    </comment>
    <comment ref="E6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 xml:space="preserve">DSC: Nhập chiều dày cải tạo Lớp 1 (Ở dưới)
</t>
        </r>
      </text>
    </comment>
    <comment ref="E7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 xml:space="preserve">DSC: Nhập chiều dày cải tạo Lớp 2 (Ở trên)
</t>
        </r>
      </text>
    </comment>
    <comment ref="D14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DSC: Sai số nhân thêm</t>
        </r>
      </text>
    </comment>
    <comment ref="E14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DSC: Diện tích lớp 1 cải tạo đồng thời</t>
        </r>
      </text>
    </comment>
    <comment ref="D16" authorId="1" shapeId="0" xr:uid="{00000000-0006-0000-00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Trừ ngược Sima</t>
      </text>
    </comment>
    <comment ref="E20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DSC: Diện tích Sima</t>
        </r>
      </text>
    </comment>
    <comment ref="F3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DSC: Diện tích cả tạo lớp 1 đồng thời</t>
        </r>
      </text>
    </comment>
    <comment ref="F33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DSC: Diện tích cả tạo lớp 2 ở trên Sima</t>
        </r>
      </text>
    </comment>
    <comment ref="D43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DSC: Sai số nhân thêm</t>
        </r>
      </text>
    </comment>
    <comment ref="E43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DSC: Diện tích tổng MB cải tạo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HaThu</author>
  </authors>
  <commentList>
    <comment ref="E2" authorId="0" shapeId="0" xr:uid="{A4570824-F2D9-4060-B1B7-E53B085B808D}">
      <text>
        <r>
          <rPr>
            <b/>
            <sz val="9"/>
            <color indexed="81"/>
            <rFont val="Tahoma"/>
            <family val="2"/>
          </rPr>
          <t xml:space="preserve">DSC: Nhập tỷ lệ trộn xi măng-đất Lớp 1
</t>
        </r>
      </text>
    </comment>
    <comment ref="E3" authorId="0" shapeId="0" xr:uid="{D0A46B96-57AD-4AB8-B6E6-FE0EE8D4E4E6}">
      <text>
        <r>
          <rPr>
            <b/>
            <sz val="9"/>
            <color indexed="81"/>
            <rFont val="Tahoma"/>
            <family val="2"/>
          </rPr>
          <t>DSC: Nhập tỷ lệ trộn xi măng-đất Lớp 2</t>
        </r>
      </text>
    </comment>
    <comment ref="K4" authorId="0" shapeId="0" xr:uid="{81BA70D6-6BD6-4EBE-A551-C227A2AA7E6F}">
      <text>
        <r>
          <rPr>
            <b/>
            <sz val="9"/>
            <color indexed="81"/>
            <rFont val="Tahoma"/>
            <family val="2"/>
          </rPr>
          <t>CD: Diện tích/Khối lượng BT</t>
        </r>
      </text>
    </comment>
    <comment ref="L4" authorId="0" shapeId="0" xr:uid="{440C8FAB-0418-4CF9-B7E6-31175591524A}">
      <text>
        <r>
          <rPr>
            <b/>
            <sz val="9"/>
            <color indexed="81"/>
            <rFont val="Tahoma"/>
            <family val="2"/>
          </rPr>
          <t>CD: Cạnh dự kiến</t>
        </r>
      </text>
    </comment>
    <comment ref="M4" authorId="0" shapeId="0" xr:uid="{FBA84B93-46A5-4FF2-97F4-FDECDB10ADD6}">
      <text>
        <r>
          <rPr>
            <b/>
            <sz val="9"/>
            <color indexed="81"/>
            <rFont val="Tahoma"/>
            <family val="2"/>
          </rPr>
          <t>CD: Cạnh còn lại</t>
        </r>
      </text>
    </comment>
    <comment ref="L5" authorId="0" shapeId="0" xr:uid="{1CFDD29B-EA5E-442B-B524-7D4D2314D9EA}">
      <text>
        <r>
          <rPr>
            <b/>
            <sz val="9"/>
            <color indexed="81"/>
            <rFont val="Tahoma"/>
            <family val="2"/>
          </rPr>
          <t>CD: Input Tổng Diện Tích</t>
        </r>
      </text>
    </comment>
    <comment ref="M5" authorId="0" shapeId="0" xr:uid="{CDFAF0A5-288E-4B35-A6BC-A74F80F66018}">
      <text>
        <r>
          <rPr>
            <b/>
            <sz val="9"/>
            <color indexed="81"/>
            <rFont val="Tahoma"/>
            <family val="2"/>
          </rPr>
          <t>Tổng Khối lượng bê tông tương ứng với diện tích đã nhập</t>
        </r>
      </text>
    </comment>
    <comment ref="E6" authorId="0" shapeId="0" xr:uid="{4BE00955-3194-458F-BE12-93F6AD9FABD9}">
      <text>
        <r>
          <rPr>
            <b/>
            <sz val="9"/>
            <color indexed="81"/>
            <rFont val="Tahoma"/>
            <family val="2"/>
          </rPr>
          <t xml:space="preserve">DSC: Nhập chiều dày cải tạo Lớp 1 (Ở dưới)
</t>
        </r>
      </text>
    </comment>
    <comment ref="E7" authorId="0" shapeId="0" xr:uid="{0B8B52EA-E68E-4D11-9A94-BECE302AC052}">
      <text>
        <r>
          <rPr>
            <b/>
            <sz val="9"/>
            <color indexed="81"/>
            <rFont val="Tahoma"/>
            <family val="2"/>
          </rPr>
          <t xml:space="preserve">DSC: Nhập chiều dày cải tạo Lớp 2 (Ở trên)
</t>
        </r>
      </text>
    </comment>
    <comment ref="D14" authorId="0" shapeId="0" xr:uid="{27C5CC8E-25CA-42CD-911D-681C2858C170}">
      <text>
        <r>
          <rPr>
            <b/>
            <sz val="9"/>
            <color indexed="81"/>
            <rFont val="Tahoma"/>
            <family val="2"/>
          </rPr>
          <t>DSC: Sai số nhân thêm</t>
        </r>
      </text>
    </comment>
    <comment ref="E14" authorId="0" shapeId="0" xr:uid="{152CE881-5FEF-4C55-809C-AF32FB5DC3E3}">
      <text>
        <r>
          <rPr>
            <b/>
            <sz val="9"/>
            <color indexed="81"/>
            <rFont val="Tahoma"/>
            <family val="2"/>
          </rPr>
          <t>DSC: Diện tích lớp 1 cải tạo đồng thời</t>
        </r>
      </text>
    </comment>
    <comment ref="E20" authorId="0" shapeId="0" xr:uid="{E1C2D938-7F4B-4596-9628-94DB5462D04D}">
      <text>
        <r>
          <rPr>
            <b/>
            <sz val="9"/>
            <color indexed="81"/>
            <rFont val="Tahoma"/>
            <family val="2"/>
          </rPr>
          <t>DSC: Diện tích Sima</t>
        </r>
      </text>
    </comment>
    <comment ref="F25" authorId="0" shapeId="0" xr:uid="{34D6D7C8-81D4-4CED-8482-9C68D907EAFC}">
      <text>
        <r>
          <rPr>
            <b/>
            <sz val="9"/>
            <color indexed="81"/>
            <rFont val="Tahoma"/>
            <family val="2"/>
          </rPr>
          <t>DSC: Diện tích cả tạo lớp 1 đồng thời</t>
        </r>
      </text>
    </comment>
    <comment ref="F26" authorId="0" shapeId="0" xr:uid="{0550DC55-527E-4D3F-B4F3-80843FD6B710}">
      <text>
        <r>
          <rPr>
            <b/>
            <sz val="9"/>
            <color indexed="81"/>
            <rFont val="Tahoma"/>
            <family val="2"/>
          </rPr>
          <t>DSC: Diện tích cả tạo lớp 2 ở trên Sima</t>
        </r>
      </text>
    </comment>
    <comment ref="D36" authorId="0" shapeId="0" xr:uid="{992BCB99-EB0F-4F97-BB52-FE81FD89E266}">
      <text>
        <r>
          <rPr>
            <b/>
            <sz val="9"/>
            <color indexed="81"/>
            <rFont val="Tahoma"/>
            <family val="2"/>
          </rPr>
          <t>DSC: Sai số nhân thêm</t>
        </r>
      </text>
    </comment>
    <comment ref="E36" authorId="0" shapeId="0" xr:uid="{803E25C4-5537-4849-841C-73B1F8D8F219}">
      <text>
        <r>
          <rPr>
            <b/>
            <sz val="9"/>
            <color indexed="81"/>
            <rFont val="Tahoma"/>
            <family val="2"/>
          </rPr>
          <t>DSC: Diện tích tổng MB cải tạo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HaThu</author>
  </authors>
  <commentList>
    <comment ref="E2" authorId="0" shapeId="0" xr:uid="{1163AF42-6CD2-4730-99DD-3E17B353D970}">
      <text>
        <r>
          <rPr>
            <b/>
            <sz val="9"/>
            <color indexed="81"/>
            <rFont val="Tahoma"/>
            <family val="2"/>
          </rPr>
          <t xml:space="preserve">DSC: Nhập tỷ lệ trộn xi măng-đất Lớp 1
</t>
        </r>
      </text>
    </comment>
    <comment ref="E3" authorId="0" shapeId="0" xr:uid="{A7617B62-6C9B-4CF2-B032-399045404F37}">
      <text>
        <r>
          <rPr>
            <b/>
            <sz val="9"/>
            <color indexed="81"/>
            <rFont val="Tahoma"/>
            <family val="2"/>
          </rPr>
          <t>DSC: Nhập tỷ lệ trộn xi măng-đất Lớp 2</t>
        </r>
      </text>
    </comment>
    <comment ref="K4" authorId="0" shapeId="0" xr:uid="{FE99A467-4C86-4B03-B452-08FB08BF71BE}">
      <text>
        <r>
          <rPr>
            <b/>
            <sz val="9"/>
            <color indexed="81"/>
            <rFont val="Tahoma"/>
            <family val="2"/>
          </rPr>
          <t>CD: Diện tích/Khối lượng BT</t>
        </r>
      </text>
    </comment>
    <comment ref="L4" authorId="0" shapeId="0" xr:uid="{11C8DE28-726F-4778-B6CF-6722D0E7D234}">
      <text>
        <r>
          <rPr>
            <b/>
            <sz val="9"/>
            <color indexed="81"/>
            <rFont val="Tahoma"/>
            <family val="2"/>
          </rPr>
          <t>CD: Cạnh dự kiến</t>
        </r>
      </text>
    </comment>
    <comment ref="M4" authorId="0" shapeId="0" xr:uid="{A5BB0C5E-9DED-4A77-A464-96869525B126}">
      <text>
        <r>
          <rPr>
            <b/>
            <sz val="9"/>
            <color indexed="81"/>
            <rFont val="Tahoma"/>
            <family val="2"/>
          </rPr>
          <t>CD: Cạnh còn lại</t>
        </r>
      </text>
    </comment>
    <comment ref="L5" authorId="0" shapeId="0" xr:uid="{AD538089-7F17-4B00-9ACE-DA6C978B6B4F}">
      <text>
        <r>
          <rPr>
            <b/>
            <sz val="9"/>
            <color indexed="81"/>
            <rFont val="Tahoma"/>
            <family val="2"/>
          </rPr>
          <t>CD: Input Tổng Diện Tích</t>
        </r>
      </text>
    </comment>
    <comment ref="M5" authorId="0" shapeId="0" xr:uid="{CB167FF2-36B3-4E0A-A752-2977B51FFCD0}">
      <text>
        <r>
          <rPr>
            <b/>
            <sz val="9"/>
            <color indexed="81"/>
            <rFont val="Tahoma"/>
            <family val="2"/>
          </rPr>
          <t>Tổng Khối lượng bê tông tương ứng với diện tích đã nhập</t>
        </r>
      </text>
    </comment>
    <comment ref="E6" authorId="0" shapeId="0" xr:uid="{8857CF58-0986-441D-9A3F-7B213CEF8C0F}">
      <text>
        <r>
          <rPr>
            <b/>
            <sz val="9"/>
            <color indexed="81"/>
            <rFont val="Tahoma"/>
            <family val="2"/>
          </rPr>
          <t xml:space="preserve">DSC: Nhập chiều dày cải tạo Lớp 1 (Ở dưới)
</t>
        </r>
      </text>
    </comment>
    <comment ref="E7" authorId="0" shapeId="0" xr:uid="{25967604-D674-4E27-AD31-36E64FDE0D2E}">
      <text>
        <r>
          <rPr>
            <b/>
            <sz val="9"/>
            <color indexed="81"/>
            <rFont val="Tahoma"/>
            <family val="2"/>
          </rPr>
          <t xml:space="preserve">DSC: Nhập chiều dày cải tạo Lớp 2 (Ở trên)
</t>
        </r>
      </text>
    </comment>
    <comment ref="D14" authorId="0" shapeId="0" xr:uid="{E215D72D-D6EC-459A-A474-E3CFDF0538DA}">
      <text>
        <r>
          <rPr>
            <b/>
            <sz val="9"/>
            <color indexed="81"/>
            <rFont val="Tahoma"/>
            <family val="2"/>
          </rPr>
          <t>DSC: Sai số nhân thêm</t>
        </r>
      </text>
    </comment>
    <comment ref="E14" authorId="0" shapeId="0" xr:uid="{71EA5FB0-2EBA-4F71-9BBF-D534309458C6}">
      <text>
        <r>
          <rPr>
            <b/>
            <sz val="9"/>
            <color indexed="81"/>
            <rFont val="Tahoma"/>
            <family val="2"/>
          </rPr>
          <t>DSC: Diện tích lớp 1 cải tạo đồng thời</t>
        </r>
      </text>
    </comment>
    <comment ref="E20" authorId="0" shapeId="0" xr:uid="{6C0EA2BA-1939-4DE6-A289-3F388560E6BF}">
      <text>
        <r>
          <rPr>
            <b/>
            <sz val="9"/>
            <color indexed="81"/>
            <rFont val="Tahoma"/>
            <family val="2"/>
          </rPr>
          <t>DSC: Diện tích Sima</t>
        </r>
      </text>
    </comment>
    <comment ref="F25" authorId="0" shapeId="0" xr:uid="{5BF09B79-7180-4B64-8AE1-7556C63BE59F}">
      <text>
        <r>
          <rPr>
            <b/>
            <sz val="9"/>
            <color indexed="81"/>
            <rFont val="Tahoma"/>
            <family val="2"/>
          </rPr>
          <t>DSC: Diện tích cả tạo lớp 1 đồng thời</t>
        </r>
      </text>
    </comment>
    <comment ref="F26" authorId="0" shapeId="0" xr:uid="{A1F1F9E8-750D-4C50-B941-ACB83F62903B}">
      <text>
        <r>
          <rPr>
            <b/>
            <sz val="9"/>
            <color indexed="81"/>
            <rFont val="Tahoma"/>
            <family val="2"/>
          </rPr>
          <t>DSC: Diện tích cả tạo lớp 2 ở trên Sima</t>
        </r>
      </text>
    </comment>
    <comment ref="D36" authorId="0" shapeId="0" xr:uid="{AF2DDE2C-EEE9-4C7B-AA01-D3D3C24A0770}">
      <text>
        <r>
          <rPr>
            <b/>
            <sz val="9"/>
            <color indexed="81"/>
            <rFont val="Tahoma"/>
            <family val="2"/>
          </rPr>
          <t>DSC: Sai số nhân thêm</t>
        </r>
      </text>
    </comment>
    <comment ref="E36" authorId="0" shapeId="0" xr:uid="{2C1779E2-52E5-4EC7-8320-387F7D1AC89E}">
      <text>
        <r>
          <rPr>
            <b/>
            <sz val="9"/>
            <color indexed="81"/>
            <rFont val="Tahoma"/>
            <family val="2"/>
          </rPr>
          <t>DSC: Diện tích tổng MB cải tạo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HaThu</author>
  </authors>
  <commentList>
    <comment ref="E2" authorId="0" shapeId="0" xr:uid="{B4AD0E86-33AE-407B-B8F5-30504CD027E6}">
      <text>
        <r>
          <rPr>
            <b/>
            <sz val="9"/>
            <color indexed="81"/>
            <rFont val="Tahoma"/>
            <family val="2"/>
          </rPr>
          <t xml:space="preserve">DSC: Nhập tỷ lệ trộn xi măng-đất Lớp 1
</t>
        </r>
      </text>
    </comment>
    <comment ref="E3" authorId="0" shapeId="0" xr:uid="{CD5CE529-1B05-45CB-8456-22FB83A8A780}">
      <text>
        <r>
          <rPr>
            <b/>
            <sz val="9"/>
            <color indexed="81"/>
            <rFont val="Tahoma"/>
            <family val="2"/>
          </rPr>
          <t>DSC: Nhập tỷ lệ trộn xi măng-đất Lớp 2</t>
        </r>
      </text>
    </comment>
    <comment ref="K4" authorId="0" shapeId="0" xr:uid="{DC48E11E-9EF7-4DBD-9004-8D8851AB5159}">
      <text>
        <r>
          <rPr>
            <b/>
            <sz val="9"/>
            <color indexed="81"/>
            <rFont val="Tahoma"/>
            <family val="2"/>
          </rPr>
          <t>CD: Diện tích/Khối lượng BT</t>
        </r>
      </text>
    </comment>
    <comment ref="L4" authorId="0" shapeId="0" xr:uid="{2590C519-C984-44D3-B770-40E79E0714A1}">
      <text>
        <r>
          <rPr>
            <b/>
            <sz val="9"/>
            <color indexed="81"/>
            <rFont val="Tahoma"/>
            <family val="2"/>
          </rPr>
          <t>CD: Cạnh dự kiến</t>
        </r>
      </text>
    </comment>
    <comment ref="M4" authorId="0" shapeId="0" xr:uid="{4D0CB449-C20F-4564-B510-04C64BE59529}">
      <text>
        <r>
          <rPr>
            <b/>
            <sz val="9"/>
            <color indexed="81"/>
            <rFont val="Tahoma"/>
            <family val="2"/>
          </rPr>
          <t>CD: Cạnh còn lại</t>
        </r>
      </text>
    </comment>
    <comment ref="L5" authorId="0" shapeId="0" xr:uid="{5594C362-311B-49FB-9309-9CFDC984EE86}">
      <text>
        <r>
          <rPr>
            <b/>
            <sz val="9"/>
            <color indexed="81"/>
            <rFont val="Tahoma"/>
            <family val="2"/>
          </rPr>
          <t>CD: Input Tổng Diện Tích</t>
        </r>
      </text>
    </comment>
    <comment ref="M5" authorId="0" shapeId="0" xr:uid="{34E91816-E40C-4C7D-B512-BF6EB164683C}">
      <text>
        <r>
          <rPr>
            <b/>
            <sz val="9"/>
            <color indexed="81"/>
            <rFont val="Tahoma"/>
            <family val="2"/>
          </rPr>
          <t>Tổng Khối lượng bê tông tương ứng với diện tích đã nhập</t>
        </r>
      </text>
    </comment>
    <comment ref="E6" authorId="0" shapeId="0" xr:uid="{B7014865-33C0-4979-A80A-5F4A7AAC6123}">
      <text>
        <r>
          <rPr>
            <b/>
            <sz val="9"/>
            <color indexed="81"/>
            <rFont val="Tahoma"/>
            <family val="2"/>
          </rPr>
          <t xml:space="preserve">DSC: Nhập chiều dày cải tạo Lớp 1 (Ở dưới)
</t>
        </r>
      </text>
    </comment>
    <comment ref="E7" authorId="0" shapeId="0" xr:uid="{F7E9232C-B361-4C61-A10F-055C12667FA1}">
      <text>
        <r>
          <rPr>
            <b/>
            <sz val="9"/>
            <color indexed="81"/>
            <rFont val="Tahoma"/>
            <family val="2"/>
          </rPr>
          <t xml:space="preserve">DSC: Nhập chiều dày cải tạo Lớp 2 (Ở trên)
</t>
        </r>
      </text>
    </comment>
    <comment ref="D14" authorId="0" shapeId="0" xr:uid="{D9D12D1B-6F75-43C9-A317-3B77A232BC61}">
      <text>
        <r>
          <rPr>
            <b/>
            <sz val="9"/>
            <color indexed="81"/>
            <rFont val="Tahoma"/>
            <family val="2"/>
          </rPr>
          <t>DSC: Sai số nhân thêm</t>
        </r>
      </text>
    </comment>
    <comment ref="E14" authorId="0" shapeId="0" xr:uid="{AB658304-7007-4194-A726-75B20B3B6D59}">
      <text>
        <r>
          <rPr>
            <b/>
            <sz val="9"/>
            <color indexed="81"/>
            <rFont val="Tahoma"/>
            <family val="2"/>
          </rPr>
          <t>DSC: Diện tích lớp 1 cải tạo đồng thời</t>
        </r>
      </text>
    </comment>
    <comment ref="E20" authorId="0" shapeId="0" xr:uid="{65136B2C-F9BF-47B5-90ED-9FB6BEE8A511}">
      <text>
        <r>
          <rPr>
            <b/>
            <sz val="9"/>
            <color indexed="81"/>
            <rFont val="Tahoma"/>
            <family val="2"/>
          </rPr>
          <t>DSC: Diện tích Sima</t>
        </r>
      </text>
    </comment>
    <comment ref="F25" authorId="0" shapeId="0" xr:uid="{A1692F96-2432-4E76-8E67-2BD26CF72C6E}">
      <text>
        <r>
          <rPr>
            <b/>
            <sz val="9"/>
            <color indexed="81"/>
            <rFont val="Tahoma"/>
            <family val="2"/>
          </rPr>
          <t>DSC: Diện tích cả tạo lớp 1 đồng thời</t>
        </r>
      </text>
    </comment>
    <comment ref="F26" authorId="0" shapeId="0" xr:uid="{4849830E-14C5-406C-AA60-D6711D67A25C}">
      <text>
        <r>
          <rPr>
            <b/>
            <sz val="9"/>
            <color indexed="81"/>
            <rFont val="Tahoma"/>
            <family val="2"/>
          </rPr>
          <t>DSC: Diện tích cả tạo lớp 2 ở trên Sima</t>
        </r>
      </text>
    </comment>
    <comment ref="D36" authorId="0" shapeId="0" xr:uid="{4EE02235-9125-4B34-AB7D-C73398FA8A84}">
      <text>
        <r>
          <rPr>
            <b/>
            <sz val="9"/>
            <color indexed="81"/>
            <rFont val="Tahoma"/>
            <family val="2"/>
          </rPr>
          <t>DSC: Sai số nhân thêm</t>
        </r>
      </text>
    </comment>
    <comment ref="E36" authorId="0" shapeId="0" xr:uid="{4A255EEC-A38F-4CB4-BBF0-C92BDA73D327}">
      <text>
        <r>
          <rPr>
            <b/>
            <sz val="9"/>
            <color indexed="81"/>
            <rFont val="Tahoma"/>
            <family val="2"/>
          </rPr>
          <t>DSC: Diện tích tổng MB cải tạo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HaThu</author>
  </authors>
  <commentList>
    <comment ref="E2" authorId="0" shapeId="0" xr:uid="{8548A65A-989F-4128-9A74-787E8F774F0D}">
      <text>
        <r>
          <rPr>
            <b/>
            <sz val="9"/>
            <color indexed="81"/>
            <rFont val="Tahoma"/>
            <family val="2"/>
          </rPr>
          <t xml:space="preserve">DSC: Nhập tỷ lệ trộn xi măng-đất Lớp 1
</t>
        </r>
      </text>
    </comment>
    <comment ref="E3" authorId="0" shapeId="0" xr:uid="{91E73668-E2EC-4F2C-902F-7B2B36949F9D}">
      <text>
        <r>
          <rPr>
            <b/>
            <sz val="9"/>
            <color indexed="81"/>
            <rFont val="Tahoma"/>
            <family val="2"/>
          </rPr>
          <t>DSC: Nhập tỷ lệ trộn xi măng-đất Lớp 2</t>
        </r>
      </text>
    </comment>
    <comment ref="K4" authorId="0" shapeId="0" xr:uid="{6D973C7E-3914-443D-BEE4-269DAFF198A0}">
      <text>
        <r>
          <rPr>
            <b/>
            <sz val="9"/>
            <color indexed="81"/>
            <rFont val="Tahoma"/>
            <family val="2"/>
          </rPr>
          <t>CD: Diện tích/Khối lượng BT</t>
        </r>
      </text>
    </comment>
    <comment ref="L4" authorId="0" shapeId="0" xr:uid="{3852548A-551C-46A2-894C-E084AF583D83}">
      <text>
        <r>
          <rPr>
            <b/>
            <sz val="9"/>
            <color indexed="81"/>
            <rFont val="Tahoma"/>
            <family val="2"/>
          </rPr>
          <t>CD: Cạnh dự kiến</t>
        </r>
      </text>
    </comment>
    <comment ref="M4" authorId="0" shapeId="0" xr:uid="{3DBC8FBE-7005-4318-95E4-5DE5B5DB5D0C}">
      <text>
        <r>
          <rPr>
            <b/>
            <sz val="9"/>
            <color indexed="81"/>
            <rFont val="Tahoma"/>
            <family val="2"/>
          </rPr>
          <t>CD: Cạnh còn lại</t>
        </r>
      </text>
    </comment>
    <comment ref="L5" authorId="0" shapeId="0" xr:uid="{D44EC7A3-F0F5-47FD-8C3B-F88177C99ADE}">
      <text>
        <r>
          <rPr>
            <b/>
            <sz val="9"/>
            <color indexed="81"/>
            <rFont val="Tahoma"/>
            <family val="2"/>
          </rPr>
          <t>CD: Input Tổng Diện Tích</t>
        </r>
      </text>
    </comment>
    <comment ref="M5" authorId="0" shapeId="0" xr:uid="{B2E25A78-36D5-44E1-BC46-52A929DA0DC9}">
      <text>
        <r>
          <rPr>
            <b/>
            <sz val="9"/>
            <color indexed="81"/>
            <rFont val="Tahoma"/>
            <family val="2"/>
          </rPr>
          <t>Tổng Khối lượng bê tông tương ứng với diện tích đã nhập</t>
        </r>
      </text>
    </comment>
    <comment ref="E6" authorId="0" shapeId="0" xr:uid="{91854255-6D98-425E-8E98-29559ED6BC92}">
      <text>
        <r>
          <rPr>
            <b/>
            <sz val="9"/>
            <color indexed="81"/>
            <rFont val="Tahoma"/>
            <family val="2"/>
          </rPr>
          <t xml:space="preserve">DSC: Nhập chiều dày cải tạo Lớp 1 (Ở dưới)
</t>
        </r>
      </text>
    </comment>
    <comment ref="E7" authorId="0" shapeId="0" xr:uid="{1F51E439-38A8-444A-9969-D67F980E18D4}">
      <text>
        <r>
          <rPr>
            <b/>
            <sz val="9"/>
            <color indexed="81"/>
            <rFont val="Tahoma"/>
            <family val="2"/>
          </rPr>
          <t xml:space="preserve">DSC: Nhập chiều dày cải tạo Lớp 2 (Ở trên)
</t>
        </r>
      </text>
    </comment>
    <comment ref="D14" authorId="0" shapeId="0" xr:uid="{6FECC247-8F07-4AA3-BC88-F2EC49DA5565}">
      <text>
        <r>
          <rPr>
            <b/>
            <sz val="9"/>
            <color indexed="81"/>
            <rFont val="Tahoma"/>
            <family val="2"/>
          </rPr>
          <t>DSC: Sai số nhân thêm</t>
        </r>
      </text>
    </comment>
    <comment ref="E14" authorId="0" shapeId="0" xr:uid="{45AC3349-6AE9-41F8-97FF-FBF542192212}">
      <text>
        <r>
          <rPr>
            <b/>
            <sz val="9"/>
            <color indexed="81"/>
            <rFont val="Tahoma"/>
            <family val="2"/>
          </rPr>
          <t>DSC: Diện tích lớp 1 cải tạo đồng thời</t>
        </r>
      </text>
    </comment>
    <comment ref="E20" authorId="0" shapeId="0" xr:uid="{97E09E99-3BD7-41E3-AD3F-72CD15B96D52}">
      <text>
        <r>
          <rPr>
            <b/>
            <sz val="9"/>
            <color indexed="81"/>
            <rFont val="Tahoma"/>
            <family val="2"/>
          </rPr>
          <t>DSC: Diện tích Sima</t>
        </r>
      </text>
    </comment>
    <comment ref="F25" authorId="0" shapeId="0" xr:uid="{89DC54A7-01DA-4EAA-B7DD-5754D58EE3BD}">
      <text>
        <r>
          <rPr>
            <b/>
            <sz val="9"/>
            <color indexed="81"/>
            <rFont val="Tahoma"/>
            <family val="2"/>
          </rPr>
          <t>DSC: Diện tích cả tạo lớp 1 đồng thời</t>
        </r>
      </text>
    </comment>
    <comment ref="F26" authorId="0" shapeId="0" xr:uid="{F474BBCC-453B-4E55-B411-84573FE4D2CB}">
      <text>
        <r>
          <rPr>
            <b/>
            <sz val="9"/>
            <color indexed="81"/>
            <rFont val="Tahoma"/>
            <family val="2"/>
          </rPr>
          <t>DSC: Diện tích cả tạo lớp 2 ở trên Sima</t>
        </r>
      </text>
    </comment>
    <comment ref="D36" authorId="0" shapeId="0" xr:uid="{EB818405-AD7A-4C48-9B6D-B804A2A8C908}">
      <text>
        <r>
          <rPr>
            <b/>
            <sz val="9"/>
            <color indexed="81"/>
            <rFont val="Tahoma"/>
            <family val="2"/>
          </rPr>
          <t>DSC: Sai số nhân thêm</t>
        </r>
      </text>
    </comment>
    <comment ref="E36" authorId="0" shapeId="0" xr:uid="{7081413B-FF9F-44B4-B16B-CC35ABE7BD25}">
      <text>
        <r>
          <rPr>
            <b/>
            <sz val="9"/>
            <color indexed="81"/>
            <rFont val="Tahoma"/>
            <family val="2"/>
          </rPr>
          <t>DSC: Diện tích tổng MB cải tạo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HaThu</author>
  </authors>
  <commentList>
    <comment ref="E2" authorId="0" shapeId="0" xr:uid="{48B50850-62A3-4E1B-B7BB-A64DD6665713}">
      <text>
        <r>
          <rPr>
            <b/>
            <sz val="9"/>
            <color indexed="81"/>
            <rFont val="Tahoma"/>
            <family val="2"/>
          </rPr>
          <t xml:space="preserve">DSC: Nhập tỷ lệ trộn xi măng-đất Lớp 1
</t>
        </r>
      </text>
    </comment>
    <comment ref="E3" authorId="0" shapeId="0" xr:uid="{4CBB431E-091A-47D0-9780-E14EC97C3243}">
      <text>
        <r>
          <rPr>
            <b/>
            <sz val="9"/>
            <color indexed="81"/>
            <rFont val="Tahoma"/>
            <family val="2"/>
          </rPr>
          <t>DSC: Nhập tỷ lệ trộn xi măng-đất Lớp 2</t>
        </r>
      </text>
    </comment>
    <comment ref="K4" authorId="0" shapeId="0" xr:uid="{DAA3F03E-756B-4FBB-90C3-1887B000DEFE}">
      <text>
        <r>
          <rPr>
            <b/>
            <sz val="9"/>
            <color indexed="81"/>
            <rFont val="Tahoma"/>
            <family val="2"/>
          </rPr>
          <t>CD: Diện tích/Khối lượng BT</t>
        </r>
      </text>
    </comment>
    <comment ref="L4" authorId="0" shapeId="0" xr:uid="{58A81676-C14D-49E6-919E-EA89721176EB}">
      <text>
        <r>
          <rPr>
            <b/>
            <sz val="9"/>
            <color indexed="81"/>
            <rFont val="Tahoma"/>
            <family val="2"/>
          </rPr>
          <t>CD: Cạnh dự kiến</t>
        </r>
      </text>
    </comment>
    <comment ref="M4" authorId="0" shapeId="0" xr:uid="{B88E0CC9-53D0-4363-A059-CDF05B38C78E}">
      <text>
        <r>
          <rPr>
            <b/>
            <sz val="9"/>
            <color indexed="81"/>
            <rFont val="Tahoma"/>
            <family val="2"/>
          </rPr>
          <t>CD: Cạnh còn lại</t>
        </r>
      </text>
    </comment>
    <comment ref="L5" authorId="0" shapeId="0" xr:uid="{88C7BAE3-774B-4F30-82AF-57FC6951BB90}">
      <text>
        <r>
          <rPr>
            <b/>
            <sz val="9"/>
            <color indexed="81"/>
            <rFont val="Tahoma"/>
            <family val="2"/>
          </rPr>
          <t>CD: Input Tổng Diện Tích</t>
        </r>
      </text>
    </comment>
    <comment ref="M5" authorId="0" shapeId="0" xr:uid="{BEDC82DB-75F2-45CF-8F7F-05BDB286A55F}">
      <text>
        <r>
          <rPr>
            <b/>
            <sz val="9"/>
            <color indexed="81"/>
            <rFont val="Tahoma"/>
            <family val="2"/>
          </rPr>
          <t>Tổng Khối lượng bê tông tương ứng với diện tích đã nhập</t>
        </r>
      </text>
    </comment>
    <comment ref="E6" authorId="0" shapeId="0" xr:uid="{96453921-ED1D-4AB1-8C9B-9703224BA49F}">
      <text>
        <r>
          <rPr>
            <b/>
            <sz val="9"/>
            <color indexed="81"/>
            <rFont val="Tahoma"/>
            <family val="2"/>
          </rPr>
          <t xml:space="preserve">DSC: Nhập chiều dày cải tạo Lớp 1 (Ở dưới)
</t>
        </r>
      </text>
    </comment>
    <comment ref="E7" authorId="0" shapeId="0" xr:uid="{EDB39520-5C46-4F16-A992-0811677D229E}">
      <text>
        <r>
          <rPr>
            <b/>
            <sz val="9"/>
            <color indexed="81"/>
            <rFont val="Tahoma"/>
            <family val="2"/>
          </rPr>
          <t xml:space="preserve">DSC: Nhập chiều dày cải tạo Lớp 2 (Ở trên)
</t>
        </r>
      </text>
    </comment>
    <comment ref="D14" authorId="0" shapeId="0" xr:uid="{8B920F1A-0EAC-4E4A-97C3-529A63EAD074}">
      <text>
        <r>
          <rPr>
            <b/>
            <sz val="9"/>
            <color indexed="81"/>
            <rFont val="Tahoma"/>
            <family val="2"/>
          </rPr>
          <t>DSC: Sai số nhân thêm</t>
        </r>
      </text>
    </comment>
    <comment ref="E14" authorId="0" shapeId="0" xr:uid="{15335B6B-AE27-4675-AE7E-F00FB5E28801}">
      <text>
        <r>
          <rPr>
            <b/>
            <sz val="9"/>
            <color indexed="81"/>
            <rFont val="Tahoma"/>
            <family val="2"/>
          </rPr>
          <t>DSC: Diện tích lớp 1 cải tạo đồng thời</t>
        </r>
      </text>
    </comment>
    <comment ref="E20" authorId="0" shapeId="0" xr:uid="{B1B2374B-6863-447F-9BD2-F8A8A4F0F4C5}">
      <text>
        <r>
          <rPr>
            <b/>
            <sz val="9"/>
            <color indexed="81"/>
            <rFont val="Tahoma"/>
            <family val="2"/>
          </rPr>
          <t>DSC: Diện tích Sima</t>
        </r>
      </text>
    </comment>
    <comment ref="F25" authorId="0" shapeId="0" xr:uid="{99DB6CC5-EE0A-44C2-A1EF-2CEFD7398FB1}">
      <text>
        <r>
          <rPr>
            <b/>
            <sz val="9"/>
            <color indexed="81"/>
            <rFont val="Tahoma"/>
            <family val="2"/>
          </rPr>
          <t>DSC: Diện tích cả tạo lớp 1 đồng thời</t>
        </r>
      </text>
    </comment>
    <comment ref="F26" authorId="0" shapeId="0" xr:uid="{5B604BF7-85F0-4D54-96E1-3C4356EDAF33}">
      <text>
        <r>
          <rPr>
            <b/>
            <sz val="9"/>
            <color indexed="81"/>
            <rFont val="Tahoma"/>
            <family val="2"/>
          </rPr>
          <t>DSC: Diện tích cả tạo lớp 2 ở trên Sima</t>
        </r>
      </text>
    </comment>
    <comment ref="D36" authorId="0" shapeId="0" xr:uid="{94B5AE51-17CC-446D-B16F-E9D3B3B89730}">
      <text>
        <r>
          <rPr>
            <b/>
            <sz val="9"/>
            <color indexed="81"/>
            <rFont val="Tahoma"/>
            <family val="2"/>
          </rPr>
          <t>DSC: Sai số nhân thêm</t>
        </r>
      </text>
    </comment>
    <comment ref="E36" authorId="0" shapeId="0" xr:uid="{4C5558FB-F9DB-4503-B2AE-5EBE912B71C8}">
      <text>
        <r>
          <rPr>
            <b/>
            <sz val="9"/>
            <color indexed="81"/>
            <rFont val="Tahoma"/>
            <family val="2"/>
          </rPr>
          <t>DSC: Diện tích tổng MB cải tạo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tc={11015B03-BAAA-4719-AA47-42106D64DC04}</author>
    <author>tc={45128E76-7537-41ED-9E3F-89EE322112EB}</author>
    <author>tc={5C7B655E-6783-4EB3-9B6C-16747B2371F8}</author>
    <author>tc={1CFA7429-9202-47DF-B470-AD9C407C4BD1}</author>
    <author>tc={42D39ED0-C0C3-46EC-BAEC-31F5B2A260FC}</author>
    <author>tc={5732BD74-BFEF-4126-98CD-DDCE0035E7F7}</author>
    <author>tc={A6820D03-EAA4-496E-B7AC-7F725652DD8C}</author>
    <author>tc={1E0D79B3-7B2E-4828-8C77-3BB5A14D2196}</author>
    <author>tc={4F6AB0F4-927A-4B27-A41F-6A81DE56F986}</author>
    <author>tc={EB367962-4AA2-450E-9F95-55F90654F72A}</author>
  </authors>
  <commentList>
    <comment ref="C1" authorId="0" shapeId="0" xr:uid="{11015B03-BAAA-4719-AA47-42106D64DC04}">
      <text>
        <t>[Threaded comment]
Your version of Excel allows you to read this threaded comment; however, any edits to it will get removed if the file is opened in a newer version of Excel. Learn more: https://go.microsoft.com/fwlink/?linkid=870924
Comment:
    Nhập mã dự án</t>
      </text>
    </comment>
    <comment ref="D2" authorId="1" shapeId="0" xr:uid="{45128E76-7537-41ED-9E3F-89EE322112EB}">
      <text>
        <t>[Threaded comment]
Your version of Excel allows you to read this threaded comment; however, any edits to it will get removed if the file is opened in a newer version of Excel. Learn more: https://go.microsoft.com/fwlink/?linkid=870924
Comment:
    Điền mốc cao độ</t>
      </text>
    </comment>
    <comment ref="E2" authorId="2" shapeId="0" xr:uid="{5C7B655E-6783-4EB3-9B6C-16747B2371F8}">
      <text>
        <t>[Threaded comment]
Your version of Excel allows you to read this threaded comment; however, any edits to it will get removed if the file is opened in a newer version of Excel. Learn more: https://go.microsoft.com/fwlink/?linkid=870924
Comment:
    Cao độ sau cải tạo vùng 1</t>
      </text>
    </comment>
    <comment ref="A9" authorId="3" shapeId="0" xr:uid="{1CFA7429-9202-47DF-B470-AD9C407C4BD1}">
      <text>
        <t>[Threaded comment]
Your version of Excel allows you to read this threaded comment; however, any edits to it will get removed if the file is opened in a newer version of Excel. Learn more: https://go.microsoft.com/fwlink/?linkid=870924
Comment:
    Nhập tương ứng vùng cao độ sau cải tạo khác nhau.Vùng "1" or "2".Cấu kiện nằm ở cả 2 vùng cải tạo nhập theo vùng cao độ cải tạo sâu hơn.</t>
      </text>
    </comment>
    <comment ref="B9" authorId="4" shapeId="0" xr:uid="{42D39ED0-C0C3-46EC-BAEC-31F5B2A260FC}">
      <text>
        <t>[Threaded comment]
Your version of Excel allows you to read this threaded comment; however, any edits to it will get removed if the file is opened in a newer version of Excel. Learn more: https://go.microsoft.com/fwlink/?linkid=870924
Comment:
    Input STT</t>
      </text>
    </comment>
    <comment ref="C9" authorId="5" shapeId="0" xr:uid="{5732BD74-BFEF-4126-98CD-DDCE0035E7F7}">
      <text>
        <t>[Threaded comment]
Your version of Excel allows you to read this threaded comment; however, any edits to it will get removed if the file is opened in a newer version of Excel. Learn more: https://go.microsoft.com/fwlink/?linkid=870924
Comment:
    DSC: Group móng cùng chiều cao móng cùng mặt cắt JWcad, viết cách nhau bằng dấu phẩy ",".</t>
      </text>
    </comment>
    <comment ref="D9" authorId="6" shapeId="0" xr:uid="{A6820D03-EAA4-496E-B7AC-7F725652DD8C}">
      <text>
        <t>[Threaded comment]
Your version of Excel allows you to read this threaded comment; however, any edits to it will get removed if the file is opened in a newer version of Excel. Learn more: https://go.microsoft.com/fwlink/?linkid=870924
Comment:
    Input loại móng Thường/Daike/FG/FW/Sàn/Pit(Cấu kiện khác giống Pit như rãnh nước, cống thu nước..)</t>
      </text>
    </comment>
    <comment ref="F9" authorId="7" shapeId="0" xr:uid="{1E0D79B3-7B2E-4828-8C77-3BB5A14D2196}">
      <text>
        <t>[Threaded comment]
Your version of Excel allows you to read this threaded comment; however, any edits to it will get removed if the file is opened in a newer version of Excel. Learn more: https://go.microsoft.com/fwlink/?linkid=870924
Comment:
    Điền cao độ mặt trên cấu kiện theo hệ tọa độ, với cấu kiện dốc điền cao độ ở dưới.</t>
      </text>
    </comment>
    <comment ref="G9" authorId="8" shapeId="0" xr:uid="{4F6AB0F4-927A-4B27-A41F-6A81DE56F986}">
      <text>
        <t>[Threaded comment]
Your version of Excel allows you to read this threaded comment; however, any edits to it will get removed if the file is opened in a newer version of Excel. Learn more: https://go.microsoft.com/fwlink/?linkid=870924
Comment:
    Chỉ điền cho cấu kiện dốc, H2 là cao độ ở trên.</t>
      </text>
    </comment>
    <comment ref="I9" authorId="9" shapeId="0" xr:uid="{EB367962-4AA2-450E-9F95-55F90654F72A}">
      <text>
        <t>[Threaded comment]
Your version of Excel allows you to read this threaded comment; however, any edits to it will get removed if the file is opened in a newer version of Excel. Learn more: https://go.microsoft.com/fwlink/?linkid=870924
Comment:
    Điền chiều cao D2 của móng Daike. Ví dụ 600~200 thì D2 là 200.</t>
      </text>
    </comment>
  </commentList>
</comments>
</file>

<file path=xl/sharedStrings.xml><?xml version="1.0" encoding="utf-8"?>
<sst xmlns="http://schemas.openxmlformats.org/spreadsheetml/2006/main" count="1156" uniqueCount="160">
  <si>
    <t>1. Hàm lượng xi măng (T):</t>
  </si>
  <si>
    <r>
      <t>T/m</t>
    </r>
    <r>
      <rPr>
        <vertAlign val="superscript"/>
        <sz val="12"/>
        <color theme="1"/>
        <rFont val="Times New Roman"/>
        <family val="1"/>
      </rPr>
      <t>3</t>
    </r>
  </si>
  <si>
    <t>2. Chiều dày lớp cải tạo (h):</t>
  </si>
  <si>
    <t>m</t>
  </si>
  <si>
    <r>
      <t>(m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</si>
  <si>
    <r>
      <t xml:space="preserve">       </t>
    </r>
    <r>
      <rPr>
        <sz val="12"/>
        <color theme="1"/>
        <rFont val="Wingdings"/>
        <charset val="2"/>
      </rPr>
      <t>§</t>
    </r>
    <r>
      <rPr>
        <sz val="12"/>
        <color theme="1"/>
        <rFont val="Times New Roman"/>
        <family val="1"/>
      </rPr>
      <t xml:space="preserve">  Tổng diện tích si-ma</t>
    </r>
  </si>
  <si>
    <r>
      <t xml:space="preserve">      </t>
    </r>
    <r>
      <rPr>
        <sz val="12"/>
        <color theme="1"/>
        <rFont val="Wingdings"/>
        <charset val="2"/>
      </rPr>
      <t>§</t>
    </r>
    <r>
      <rPr>
        <sz val="12"/>
        <color theme="1"/>
        <rFont val="Times New Roman"/>
        <family val="1"/>
      </rPr>
      <t xml:space="preserve">  二次改良：S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=</t>
    </r>
  </si>
  <si>
    <t>STT</t>
  </si>
  <si>
    <t>SL</t>
  </si>
  <si>
    <t>D</t>
  </si>
  <si>
    <t>R</t>
  </si>
  <si>
    <r>
      <t>D</t>
    </r>
    <r>
      <rPr>
        <sz val="11"/>
        <color theme="1"/>
        <rFont val="Calibri"/>
        <family val="2"/>
      </rPr>
      <t>×</t>
    </r>
    <r>
      <rPr>
        <sz val="11"/>
        <color theme="1"/>
        <rFont val="Times New Roman"/>
        <family val="1"/>
      </rPr>
      <t>R</t>
    </r>
  </si>
  <si>
    <r>
      <t>(m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</si>
  <si>
    <t>(T)</t>
  </si>
  <si>
    <r>
      <t xml:space="preserve">       </t>
    </r>
    <r>
      <rPr>
        <sz val="12"/>
        <color theme="1"/>
        <rFont val="Wingdings"/>
        <charset val="2"/>
      </rPr>
      <t>§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ＭＳ ゴシック"/>
        <family val="3"/>
        <charset val="128"/>
      </rPr>
      <t>二次改良：</t>
    </r>
    <r>
      <rPr>
        <sz val="12"/>
        <color theme="1"/>
        <rFont val="游ゴシック"/>
        <family val="1"/>
        <charset val="128"/>
      </rPr>
      <t>Ⅴ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=</t>
    </r>
    <phoneticPr fontId="9"/>
  </si>
  <si>
    <r>
      <t xml:space="preserve">       </t>
    </r>
    <r>
      <rPr>
        <sz val="12"/>
        <color theme="1"/>
        <rFont val="Wingdings"/>
        <charset val="2"/>
      </rPr>
      <t>§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ＭＳ ゴシック"/>
        <family val="3"/>
        <charset val="128"/>
      </rPr>
      <t>二次改良：</t>
    </r>
    <r>
      <rPr>
        <sz val="12"/>
        <color theme="1"/>
        <rFont val="Times New Roman"/>
        <family val="1"/>
      </rPr>
      <t>N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=</t>
    </r>
    <phoneticPr fontId="9"/>
  </si>
  <si>
    <t>4. Diện tích các lớp cải tạo (S):</t>
    <phoneticPr fontId="9"/>
  </si>
  <si>
    <t>+2%</t>
    <phoneticPr fontId="9"/>
  </si>
  <si>
    <t>区　分</t>
    <phoneticPr fontId="9"/>
  </si>
  <si>
    <t>TNF工法[一次改良]</t>
    <phoneticPr fontId="9"/>
  </si>
  <si>
    <t>長期許容支持力度</t>
    <phoneticPr fontId="9"/>
  </si>
  <si>
    <t>使用固化材</t>
    <phoneticPr fontId="9"/>
  </si>
  <si>
    <t>改良厚</t>
    <phoneticPr fontId="9"/>
  </si>
  <si>
    <t>改良面積</t>
    <phoneticPr fontId="9"/>
  </si>
  <si>
    <t>改良土量</t>
    <phoneticPr fontId="9"/>
  </si>
  <si>
    <t>添加量</t>
    <phoneticPr fontId="9"/>
  </si>
  <si>
    <t>固化材使用数量</t>
    <phoneticPr fontId="9"/>
  </si>
  <si>
    <t xml:space="preserve">Lfe   = </t>
    <phoneticPr fontId="9"/>
  </si>
  <si>
    <t>ジオセット</t>
  </si>
  <si>
    <r>
      <t>kN/m</t>
    </r>
    <r>
      <rPr>
        <vertAlign val="superscript"/>
        <sz val="11"/>
        <color theme="1"/>
        <rFont val="ＭＳ Ｐゴシック"/>
        <family val="3"/>
        <charset val="128"/>
        <scheme val="minor"/>
      </rPr>
      <t>2</t>
    </r>
    <phoneticPr fontId="9"/>
  </si>
  <si>
    <t>H  =</t>
    <phoneticPr fontId="9"/>
  </si>
  <si>
    <t>改良天端 GL</t>
    <phoneticPr fontId="9"/>
  </si>
  <si>
    <t>改良下端 GL</t>
  </si>
  <si>
    <t>一次改良部：</t>
    <phoneticPr fontId="9"/>
  </si>
  <si>
    <r>
      <t>kg/m</t>
    </r>
    <r>
      <rPr>
        <vertAlign val="superscript"/>
        <sz val="11"/>
        <color theme="1"/>
        <rFont val="ＭＳ Ｐゴシック"/>
        <family val="3"/>
        <charset val="128"/>
        <scheme val="minor"/>
      </rPr>
      <t>3</t>
    </r>
    <phoneticPr fontId="9"/>
  </si>
  <si>
    <t>mm</t>
    <phoneticPr fontId="9"/>
  </si>
  <si>
    <r>
      <t>m</t>
    </r>
    <r>
      <rPr>
        <vertAlign val="superscript"/>
        <sz val="11"/>
        <color theme="1"/>
        <rFont val="ＭＳ Ｐゴシック"/>
        <family val="3"/>
        <charset val="128"/>
        <scheme val="minor"/>
      </rPr>
      <t>2</t>
    </r>
    <phoneticPr fontId="9"/>
  </si>
  <si>
    <r>
      <t>m</t>
    </r>
    <r>
      <rPr>
        <vertAlign val="superscript"/>
        <sz val="11"/>
        <color theme="1"/>
        <rFont val="ＭＳ Ｐゴシック"/>
        <family val="3"/>
        <charset val="128"/>
        <scheme val="minor"/>
      </rPr>
      <t>3</t>
    </r>
    <phoneticPr fontId="9"/>
  </si>
  <si>
    <t>t</t>
    <phoneticPr fontId="9"/>
  </si>
  <si>
    <t>※ ○内数値は固化材数量(t)を示す</t>
    <phoneticPr fontId="9"/>
  </si>
  <si>
    <r>
      <t>※ 区画割付内特記無きは</t>
    </r>
    <r>
      <rPr>
        <b/>
        <sz val="11"/>
        <color rgb="FFFF0000"/>
        <rFont val="ＭＳ Ｐゴシック"/>
        <family val="3"/>
        <charset val="128"/>
        <scheme val="minor"/>
      </rPr>
      <t xml:space="preserve"> 2</t>
    </r>
    <r>
      <rPr>
        <sz val="11"/>
        <color theme="1"/>
        <rFont val="ＭＳ Ｐゴシック"/>
        <family val="2"/>
        <charset val="128"/>
        <scheme val="minor"/>
      </rPr>
      <t>t とする</t>
    </r>
    <phoneticPr fontId="9"/>
  </si>
  <si>
    <r>
      <t>m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/</t>
    </r>
    <r>
      <rPr>
        <b/>
        <sz val="12"/>
        <color rgb="FFFF0000"/>
        <rFont val="Times New Roman"/>
        <family val="1"/>
      </rPr>
      <t>1</t>
    </r>
    <r>
      <rPr>
        <sz val="12"/>
        <color theme="1"/>
        <rFont val="Times New Roman"/>
        <family val="1"/>
      </rPr>
      <t>T</t>
    </r>
    <phoneticPr fontId="9"/>
  </si>
  <si>
    <r>
      <t>m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/</t>
    </r>
    <r>
      <rPr>
        <b/>
        <sz val="12"/>
        <color rgb="FFFF0000"/>
        <rFont val="Times New Roman"/>
        <family val="1"/>
      </rPr>
      <t>2</t>
    </r>
    <r>
      <rPr>
        <sz val="12"/>
        <color theme="1"/>
        <rFont val="Times New Roman"/>
        <family val="1"/>
      </rPr>
      <t>T</t>
    </r>
    <phoneticPr fontId="9"/>
  </si>
  <si>
    <r>
      <t>m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/</t>
    </r>
    <r>
      <rPr>
        <b/>
        <sz val="12"/>
        <color rgb="FFFF0000"/>
        <rFont val="Times New Roman"/>
        <family val="1"/>
      </rPr>
      <t>3</t>
    </r>
    <r>
      <rPr>
        <sz val="12"/>
        <color theme="1"/>
        <rFont val="Times New Roman"/>
        <family val="1"/>
      </rPr>
      <t>T</t>
    </r>
    <phoneticPr fontId="9"/>
  </si>
  <si>
    <r>
      <t>m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/</t>
    </r>
    <r>
      <rPr>
        <b/>
        <sz val="12"/>
        <color rgb="FFFF0000"/>
        <rFont val="Times New Roman"/>
        <family val="1"/>
      </rPr>
      <t>4</t>
    </r>
    <r>
      <rPr>
        <sz val="12"/>
        <color theme="1"/>
        <rFont val="Times New Roman"/>
        <family val="1"/>
      </rPr>
      <t>T</t>
    </r>
    <phoneticPr fontId="9"/>
  </si>
  <si>
    <r>
      <t>※ 区画割付内特記無きは</t>
    </r>
    <r>
      <rPr>
        <b/>
        <sz val="11"/>
        <color rgb="FFFF0000"/>
        <rFont val="ＭＳ Ｐゴシック"/>
        <family val="3"/>
        <charset val="128"/>
        <scheme val="minor"/>
      </rPr>
      <t xml:space="preserve"> 1</t>
    </r>
    <r>
      <rPr>
        <sz val="11"/>
        <color theme="1"/>
        <rFont val="ＭＳ Ｐゴシック"/>
        <family val="2"/>
        <charset val="128"/>
        <scheme val="minor"/>
      </rPr>
      <t>t とする</t>
    </r>
    <phoneticPr fontId="9"/>
  </si>
  <si>
    <r>
      <t xml:space="preserve">※ 供試体採取箇所:   </t>
    </r>
    <r>
      <rPr>
        <b/>
        <sz val="11"/>
        <color rgb="FFFF0000"/>
        <rFont val="ＭＳ Ｐゴシック"/>
        <family val="3"/>
        <charset val="128"/>
        <scheme val="minor"/>
      </rPr>
      <t>1</t>
    </r>
    <r>
      <rPr>
        <sz val="11"/>
        <color theme="1"/>
        <rFont val="ＭＳ Ｐゴシック"/>
        <family val="2"/>
        <charset val="128"/>
        <scheme val="minor"/>
      </rPr>
      <t>箇所</t>
    </r>
    <phoneticPr fontId="9"/>
  </si>
  <si>
    <t>二次改良</t>
  </si>
  <si>
    <r>
      <t>5. Thể tích các lớp cải tạo (V = S</t>
    </r>
    <r>
      <rPr>
        <b/>
        <sz val="12"/>
        <color theme="1"/>
        <rFont val="Calibri"/>
        <family val="2"/>
      </rPr>
      <t>×</t>
    </r>
    <r>
      <rPr>
        <b/>
        <sz val="12"/>
        <color theme="1"/>
        <rFont val="Times New Roman"/>
        <family val="1"/>
      </rPr>
      <t>h):</t>
    </r>
  </si>
  <si>
    <r>
      <t>6. Khối lượng xi măng cần thiết (N = V</t>
    </r>
    <r>
      <rPr>
        <b/>
        <sz val="12"/>
        <color theme="1"/>
        <rFont val="Calibri"/>
        <family val="2"/>
      </rPr>
      <t>×</t>
    </r>
    <r>
      <rPr>
        <b/>
        <sz val="12"/>
        <color theme="1"/>
        <rFont val="Times New Roman"/>
        <family val="1"/>
      </rPr>
      <t>T):</t>
    </r>
  </si>
  <si>
    <r>
      <t xml:space="preserve">       </t>
    </r>
    <r>
      <rPr>
        <sz val="12"/>
        <color theme="1"/>
        <rFont val="Wingdings"/>
        <charset val="2"/>
      </rPr>
      <t>§</t>
    </r>
    <r>
      <rPr>
        <sz val="12"/>
        <color theme="1"/>
        <rFont val="Times New Roman"/>
        <family val="1"/>
      </rPr>
      <t xml:space="preserve">  Tổng diện tích đất Gaiko cải tạo</t>
    </r>
  </si>
  <si>
    <t>7. Diện tích Gaikou cải tạo (S):</t>
  </si>
  <si>
    <r>
      <t xml:space="preserve">       </t>
    </r>
    <r>
      <rPr>
        <sz val="12"/>
        <color theme="1"/>
        <rFont val="Wingdings"/>
        <charset val="2"/>
      </rPr>
      <t>§</t>
    </r>
    <r>
      <rPr>
        <sz val="12"/>
        <color theme="1"/>
        <rFont val="Times New Roman"/>
        <family val="1"/>
      </rPr>
      <t xml:space="preserve">  Tổng diện tích đất cải tạo đồng thời</t>
    </r>
  </si>
  <si>
    <r>
      <t xml:space="preserve">      </t>
    </r>
    <r>
      <rPr>
        <sz val="12"/>
        <color theme="1"/>
        <rFont val="Wingdings"/>
        <charset val="2"/>
      </rPr>
      <t>§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ＭＳ 明朝"/>
        <family val="1"/>
        <charset val="128"/>
      </rPr>
      <t>二次改良：</t>
    </r>
    <r>
      <rPr>
        <sz val="12"/>
        <color theme="1"/>
        <rFont val="Times New Roman"/>
        <family val="1"/>
      </rPr>
      <t>T2 =</t>
    </r>
    <phoneticPr fontId="9"/>
  </si>
  <si>
    <r>
      <t xml:space="preserve">       </t>
    </r>
    <r>
      <rPr>
        <sz val="12"/>
        <color theme="1"/>
        <rFont val="Wingdings"/>
        <charset val="2"/>
      </rPr>
      <t>§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ＭＳ 明朝"/>
        <family val="1"/>
        <charset val="128"/>
      </rPr>
      <t>外構：</t>
    </r>
    <r>
      <rPr>
        <sz val="12"/>
        <color theme="1"/>
        <rFont val="Times New Roman"/>
        <family val="1"/>
      </rPr>
      <t>h3 =</t>
    </r>
    <rPh sb="10" eb="12">
      <t>ガイコウ</t>
    </rPh>
    <phoneticPr fontId="9"/>
  </si>
  <si>
    <t>KL/1ô</t>
    <phoneticPr fontId="9"/>
  </si>
  <si>
    <t>Round</t>
    <phoneticPr fontId="9"/>
  </si>
  <si>
    <t>Sum all</t>
    <phoneticPr fontId="9"/>
  </si>
  <si>
    <r>
      <t xml:space="preserve">      </t>
    </r>
    <r>
      <rPr>
        <sz val="12"/>
        <color theme="1"/>
        <rFont val="Wingdings"/>
        <charset val="2"/>
      </rPr>
      <t>§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ＭＳ 明朝"/>
        <family val="1"/>
        <charset val="128"/>
      </rPr>
      <t>外構</t>
    </r>
    <r>
      <rPr>
        <sz val="12"/>
        <color theme="1"/>
        <rFont val="Times New Roman"/>
        <family val="1"/>
      </rPr>
      <t>: S3=</t>
    </r>
    <phoneticPr fontId="9"/>
  </si>
  <si>
    <r>
      <t xml:space="preserve">      </t>
    </r>
    <r>
      <rPr>
        <sz val="12"/>
        <color theme="1"/>
        <rFont val="Wingdings"/>
        <charset val="2"/>
      </rPr>
      <t>§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ＭＳ ゴシック"/>
        <family val="3"/>
        <charset val="128"/>
      </rPr>
      <t>外構</t>
    </r>
    <r>
      <rPr>
        <sz val="12"/>
        <color theme="1"/>
        <rFont val="Times New Roman"/>
        <family val="1"/>
      </rPr>
      <t>: V3=</t>
    </r>
    <phoneticPr fontId="9"/>
  </si>
  <si>
    <r>
      <t xml:space="preserve">      </t>
    </r>
    <r>
      <rPr>
        <sz val="12"/>
        <color theme="1"/>
        <rFont val="Wingdings"/>
        <charset val="2"/>
      </rPr>
      <t>§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ＭＳ ゴシック"/>
        <family val="3"/>
        <charset val="128"/>
      </rPr>
      <t>外構</t>
    </r>
    <r>
      <rPr>
        <sz val="12"/>
        <color theme="1"/>
        <rFont val="Times New Roman"/>
        <family val="1"/>
      </rPr>
      <t>: N3=</t>
    </r>
    <phoneticPr fontId="9"/>
  </si>
  <si>
    <t>外構</t>
    <phoneticPr fontId="9"/>
  </si>
  <si>
    <r>
      <t>3. Cao trình</t>
    </r>
    <r>
      <rPr>
        <b/>
        <sz val="12"/>
        <color theme="1"/>
        <rFont val="游ゴシック"/>
        <family val="1"/>
        <charset val="128"/>
      </rPr>
      <t xml:space="preserve"> c</t>
    </r>
    <r>
      <rPr>
        <b/>
        <sz val="12"/>
        <color theme="1"/>
        <rFont val="Times New Roman"/>
        <family val="1"/>
        <charset val="163"/>
      </rPr>
      <t>ả</t>
    </r>
    <r>
      <rPr>
        <b/>
        <sz val="12"/>
        <color theme="1"/>
        <rFont val="游ゴシック"/>
        <family val="1"/>
        <charset val="128"/>
      </rPr>
      <t>i t</t>
    </r>
    <r>
      <rPr>
        <b/>
        <sz val="12"/>
        <color theme="1"/>
        <rFont val="Times New Roman"/>
        <family val="1"/>
        <charset val="163"/>
      </rPr>
      <t>ạ</t>
    </r>
    <r>
      <rPr>
        <b/>
        <sz val="12"/>
        <color theme="1"/>
        <rFont val="游ゴシック"/>
        <family val="1"/>
        <charset val="128"/>
      </rPr>
      <t>o</t>
    </r>
    <phoneticPr fontId="9"/>
  </si>
  <si>
    <r>
      <t xml:space="preserve">       </t>
    </r>
    <r>
      <rPr>
        <sz val="12"/>
        <color theme="1"/>
        <rFont val="Wingdings"/>
        <charset val="2"/>
      </rPr>
      <t>§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ＭＳ 明朝"/>
        <family val="1"/>
        <charset val="128"/>
      </rPr>
      <t>二次改良：</t>
    </r>
    <r>
      <rPr>
        <sz val="12"/>
        <color theme="1"/>
        <rFont val="Times New Roman"/>
        <family val="1"/>
      </rPr>
      <t>h2 =</t>
    </r>
    <phoneticPr fontId="9"/>
  </si>
  <si>
    <t>TNF工法[二次改良]</t>
    <phoneticPr fontId="9"/>
  </si>
  <si>
    <t>TNF工法[外構]</t>
    <phoneticPr fontId="9"/>
  </si>
  <si>
    <t>***</t>
    <phoneticPr fontId="9"/>
  </si>
  <si>
    <t>二次改良部</t>
    <phoneticPr fontId="9"/>
  </si>
  <si>
    <t>二次改良部：</t>
    <phoneticPr fontId="9"/>
  </si>
  <si>
    <r>
      <t xml:space="preserve">      </t>
    </r>
    <r>
      <rPr>
        <sz val="12"/>
        <color theme="1"/>
        <rFont val="Wingdings"/>
        <charset val="2"/>
      </rPr>
      <t>§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ＭＳ 明朝"/>
        <family val="1"/>
        <charset val="128"/>
      </rPr>
      <t>一次改良：</t>
    </r>
    <r>
      <rPr>
        <sz val="12"/>
        <color theme="1"/>
        <rFont val="Times New Roman"/>
        <family val="1"/>
      </rPr>
      <t>T1 =</t>
    </r>
    <rPh sb="9" eb="11">
      <t>イチジ</t>
    </rPh>
    <phoneticPr fontId="9"/>
  </si>
  <si>
    <t>一次改良</t>
    <phoneticPr fontId="9"/>
  </si>
  <si>
    <t>一次改良部</t>
    <phoneticPr fontId="9"/>
  </si>
  <si>
    <r>
      <t xml:space="preserve">       </t>
    </r>
    <r>
      <rPr>
        <sz val="12"/>
        <color theme="1"/>
        <rFont val="Wingdings"/>
        <charset val="2"/>
      </rPr>
      <t>§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ＭＳ 明朝"/>
        <family val="1"/>
        <charset val="128"/>
      </rPr>
      <t>一次改良：</t>
    </r>
    <r>
      <rPr>
        <sz val="12"/>
        <color theme="1"/>
        <rFont val="Times New Roman"/>
        <family val="1"/>
      </rPr>
      <t>h1 =</t>
    </r>
    <phoneticPr fontId="9"/>
  </si>
  <si>
    <r>
      <t xml:space="preserve">      </t>
    </r>
    <r>
      <rPr>
        <sz val="12"/>
        <color theme="1"/>
        <rFont val="Wingdings"/>
        <charset val="2"/>
      </rPr>
      <t>§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ＭＳ 明朝"/>
        <family val="1"/>
        <charset val="128"/>
      </rPr>
      <t>一次改良：</t>
    </r>
    <r>
      <rPr>
        <sz val="12"/>
        <color theme="1"/>
        <rFont val="Times New Roman"/>
        <family val="1"/>
      </rPr>
      <t>S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=</t>
    </r>
    <phoneticPr fontId="9"/>
  </si>
  <si>
    <r>
      <t xml:space="preserve">       </t>
    </r>
    <r>
      <rPr>
        <sz val="12"/>
        <color theme="1"/>
        <rFont val="Wingdings"/>
        <charset val="2"/>
      </rPr>
      <t>§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ＭＳ 明朝"/>
        <family val="1"/>
        <charset val="128"/>
      </rPr>
      <t>一次改良：</t>
    </r>
    <r>
      <rPr>
        <sz val="12"/>
        <color theme="1"/>
        <rFont val="ＭＳ Ｐ明朝"/>
        <family val="1"/>
        <charset val="128"/>
      </rPr>
      <t>Ⅴ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=</t>
    </r>
    <phoneticPr fontId="9"/>
  </si>
  <si>
    <r>
      <t xml:space="preserve">       </t>
    </r>
    <r>
      <rPr>
        <sz val="12"/>
        <color theme="1"/>
        <rFont val="Wingdings"/>
        <charset val="2"/>
      </rPr>
      <t>§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ＭＳ 明朝"/>
        <family val="1"/>
        <charset val="128"/>
      </rPr>
      <t>一次改良：</t>
    </r>
    <r>
      <rPr>
        <sz val="12"/>
        <color theme="1"/>
        <rFont val="Times New Roman"/>
        <family val="1"/>
      </rPr>
      <t>N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=</t>
    </r>
    <phoneticPr fontId="9"/>
  </si>
  <si>
    <t>Dự Án</t>
    <phoneticPr fontId="9"/>
  </si>
  <si>
    <t>Input</t>
    <phoneticPr fontId="9"/>
  </si>
  <si>
    <t>Com Caculus</t>
    <phoneticPr fontId="9"/>
  </si>
  <si>
    <t>1. Cao trình mặt đất cải tạo</t>
    <phoneticPr fontId="9"/>
  </si>
  <si>
    <t>Vùng 1</t>
    <phoneticPr fontId="9"/>
  </si>
  <si>
    <t>Vùng 2</t>
    <phoneticPr fontId="9"/>
  </si>
  <si>
    <t>Vùng 3</t>
    <phoneticPr fontId="9"/>
  </si>
  <si>
    <t>Vùng 4</t>
    <phoneticPr fontId="9"/>
  </si>
  <si>
    <t>Vùng 5</t>
    <phoneticPr fontId="9"/>
  </si>
  <si>
    <t>2. Thông số kích thước hố đào móng:</t>
    <phoneticPr fontId="9"/>
  </si>
  <si>
    <t>Zone</t>
    <phoneticPr fontId="9"/>
  </si>
  <si>
    <t>Tên Móng</t>
  </si>
  <si>
    <t>Loại Móng</t>
  </si>
  <si>
    <t>Bê tông lót</t>
  </si>
  <si>
    <t>Chiều cao đào đất + BT Lót</t>
  </si>
  <si>
    <t>Khoảng mở rộng</t>
  </si>
  <si>
    <t>Copy text to revit</t>
    <phoneticPr fontId="9"/>
  </si>
  <si>
    <t>Check đào hay không</t>
    <phoneticPr fontId="9"/>
  </si>
  <si>
    <t>TNF-D</t>
    <phoneticPr fontId="9"/>
  </si>
  <si>
    <t>TNF</t>
    <phoneticPr fontId="9"/>
  </si>
  <si>
    <t>設計GL</t>
    <phoneticPr fontId="9"/>
  </si>
  <si>
    <t>GL</t>
    <phoneticPr fontId="9"/>
  </si>
  <si>
    <t>CHECK LONG REBAR</t>
    <phoneticPr fontId="9"/>
  </si>
  <si>
    <t>X1</t>
    <phoneticPr fontId="9"/>
  </si>
  <si>
    <t>X2</t>
    <phoneticPr fontId="9"/>
  </si>
  <si>
    <t>Y</t>
    <phoneticPr fontId="9"/>
  </si>
  <si>
    <t>L long</t>
    <phoneticPr fontId="9"/>
  </si>
  <si>
    <t>Type 1</t>
    <phoneticPr fontId="9"/>
  </si>
  <si>
    <t>Type 2</t>
    <phoneticPr fontId="9"/>
  </si>
  <si>
    <t>Type 3</t>
    <phoneticPr fontId="9"/>
  </si>
  <si>
    <t>Type 4</t>
    <phoneticPr fontId="9"/>
  </si>
  <si>
    <t>Type 5</t>
    <phoneticPr fontId="9"/>
  </si>
  <si>
    <t>Type 6</t>
    <phoneticPr fontId="9"/>
  </si>
  <si>
    <t>Type 7</t>
    <phoneticPr fontId="9"/>
  </si>
  <si>
    <t>Type 8</t>
    <phoneticPr fontId="9"/>
  </si>
  <si>
    <t>Type 9</t>
    <phoneticPr fontId="9"/>
  </si>
  <si>
    <t>Type 10</t>
    <phoneticPr fontId="9"/>
  </si>
  <si>
    <t>Type 11</t>
    <phoneticPr fontId="9"/>
  </si>
  <si>
    <t>Type 12</t>
    <phoneticPr fontId="9"/>
  </si>
  <si>
    <t>Type 13</t>
    <phoneticPr fontId="9"/>
  </si>
  <si>
    <t>Type 14</t>
    <phoneticPr fontId="9"/>
  </si>
  <si>
    <t>Type 15</t>
    <phoneticPr fontId="9"/>
  </si>
  <si>
    <t>Type 16</t>
    <phoneticPr fontId="9"/>
  </si>
  <si>
    <t>FL</t>
    <phoneticPr fontId="9"/>
  </si>
  <si>
    <t xml:space="preserve"> - Bảng chi tiết các loại hố đào móng:</t>
    <phoneticPr fontId="9"/>
  </si>
  <si>
    <t>FW-間柱</t>
    <phoneticPr fontId="9"/>
  </si>
  <si>
    <t>他の50mm</t>
    <rPh sb="0" eb="1">
      <t>ホカ</t>
    </rPh>
    <phoneticPr fontId="9"/>
  </si>
  <si>
    <t>他の100mm</t>
    <phoneticPr fontId="9"/>
  </si>
  <si>
    <t>SGL</t>
    <phoneticPr fontId="9"/>
  </si>
  <si>
    <t>Chiều cao cấu kiện (D)</t>
    <phoneticPr fontId="9"/>
  </si>
  <si>
    <t>Chiều cao (D2) Daike</t>
    <phoneticPr fontId="9"/>
  </si>
  <si>
    <t>Cao độ mặt trên cấu kiện (H1)</t>
    <phoneticPr fontId="9"/>
  </si>
  <si>
    <t>土間スロープ</t>
    <phoneticPr fontId="9"/>
  </si>
  <si>
    <t>FW/FG</t>
    <phoneticPr fontId="9"/>
  </si>
  <si>
    <t>ピット</t>
    <phoneticPr fontId="9"/>
  </si>
  <si>
    <t>土間</t>
    <phoneticPr fontId="9"/>
  </si>
  <si>
    <t>FW/FGスロープ</t>
    <phoneticPr fontId="9"/>
  </si>
  <si>
    <t>Cao độ mặt dưới Đào đất+BT Lót</t>
    <phoneticPr fontId="9"/>
  </si>
  <si>
    <t>Cao độ mặt trên cấu kiện (H2&gt;H1)</t>
    <phoneticPr fontId="9"/>
  </si>
  <si>
    <t xml:space="preserve">Copy text to revit Daike </t>
    <phoneticPr fontId="9"/>
  </si>
  <si>
    <r>
      <t xml:space="preserve">      </t>
    </r>
    <r>
      <rPr>
        <sz val="12"/>
        <color theme="1"/>
        <rFont val="Wingdings"/>
        <charset val="2"/>
      </rPr>
      <t>§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ＭＳ 明朝"/>
        <family val="1"/>
        <charset val="128"/>
      </rPr>
      <t>同時改良：</t>
    </r>
    <r>
      <rPr>
        <sz val="12"/>
        <color theme="1"/>
        <rFont val="Times New Roman"/>
        <family val="1"/>
      </rPr>
      <t>T1 =</t>
    </r>
    <phoneticPr fontId="9"/>
  </si>
  <si>
    <r>
      <t xml:space="preserve">       </t>
    </r>
    <r>
      <rPr>
        <sz val="12"/>
        <color theme="1"/>
        <rFont val="Wingdings"/>
        <charset val="2"/>
      </rPr>
      <t>§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ＭＳ 明朝"/>
        <family val="1"/>
        <charset val="128"/>
      </rPr>
      <t>同時改良：</t>
    </r>
    <r>
      <rPr>
        <sz val="12"/>
        <color theme="1"/>
        <rFont val="Times New Roman"/>
        <family val="1"/>
      </rPr>
      <t>h1 =</t>
    </r>
    <phoneticPr fontId="9"/>
  </si>
  <si>
    <t>同時改良</t>
    <phoneticPr fontId="9"/>
  </si>
  <si>
    <t>TNF工法[同時改良]</t>
    <phoneticPr fontId="9"/>
  </si>
  <si>
    <t>同時改良部：</t>
    <phoneticPr fontId="9"/>
  </si>
  <si>
    <t>同時改良部</t>
    <phoneticPr fontId="9"/>
  </si>
  <si>
    <r>
      <t xml:space="preserve">      </t>
    </r>
    <r>
      <rPr>
        <sz val="12"/>
        <color theme="1"/>
        <rFont val="Wingdings"/>
        <charset val="2"/>
      </rPr>
      <t>§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ＭＳ 明朝"/>
        <family val="1"/>
        <charset val="128"/>
      </rPr>
      <t>同時改良：</t>
    </r>
    <r>
      <rPr>
        <sz val="12"/>
        <color theme="1"/>
        <rFont val="Times New Roman"/>
        <family val="1"/>
      </rPr>
      <t>S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=</t>
    </r>
    <phoneticPr fontId="9"/>
  </si>
  <si>
    <r>
      <t xml:space="preserve">       </t>
    </r>
    <r>
      <rPr>
        <sz val="12"/>
        <color theme="1"/>
        <rFont val="Wingdings"/>
        <charset val="2"/>
      </rPr>
      <t>§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ＭＳ 明朝"/>
        <family val="1"/>
        <charset val="128"/>
      </rPr>
      <t>同時改良：</t>
    </r>
    <r>
      <rPr>
        <sz val="12"/>
        <color theme="1"/>
        <rFont val="ＭＳ Ｐ明朝"/>
        <family val="1"/>
        <charset val="128"/>
      </rPr>
      <t>Ⅴ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=</t>
    </r>
    <phoneticPr fontId="9"/>
  </si>
  <si>
    <r>
      <t xml:space="preserve">       </t>
    </r>
    <r>
      <rPr>
        <sz val="12"/>
        <color theme="1"/>
        <rFont val="Wingdings"/>
        <charset val="2"/>
      </rPr>
      <t>§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ＭＳ 明朝"/>
        <family val="1"/>
        <charset val="128"/>
      </rPr>
      <t>同時改良：</t>
    </r>
    <r>
      <rPr>
        <sz val="12"/>
        <color theme="1"/>
        <rFont val="Times New Roman"/>
        <family val="1"/>
      </rPr>
      <t>N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=</t>
    </r>
    <phoneticPr fontId="9"/>
  </si>
  <si>
    <r>
      <t xml:space="preserve">       </t>
    </r>
    <r>
      <rPr>
        <sz val="12"/>
        <color theme="1"/>
        <rFont val="Wingdings"/>
        <charset val="2"/>
      </rPr>
      <t>§</t>
    </r>
    <r>
      <rPr>
        <sz val="12"/>
        <color theme="1"/>
        <rFont val="Times New Roman"/>
        <family val="1"/>
      </rPr>
      <t xml:space="preserve">  Tổng diện tích đất cải tạo lớ</t>
    </r>
    <r>
      <rPr>
        <sz val="12"/>
        <color theme="1"/>
        <rFont val="ＭＳ Ｐゴシック"/>
        <family val="1"/>
        <charset val="128"/>
      </rPr>
      <t>p 1</t>
    </r>
    <phoneticPr fontId="9"/>
  </si>
  <si>
    <r>
      <t xml:space="preserve">       </t>
    </r>
    <r>
      <rPr>
        <sz val="12"/>
        <color theme="1"/>
        <rFont val="Wingdings"/>
        <charset val="2"/>
      </rPr>
      <t>§</t>
    </r>
    <r>
      <rPr>
        <sz val="12"/>
        <color theme="1"/>
        <rFont val="Times New Roman"/>
        <family val="1"/>
      </rPr>
      <t xml:space="preserve">  Tổng diện tích đất cải tạo lớp </t>
    </r>
    <r>
      <rPr>
        <sz val="12"/>
        <color theme="1"/>
        <rFont val="ＭＳ Ｐ明朝"/>
        <family val="1"/>
        <charset val="128"/>
      </rPr>
      <t>2</t>
    </r>
    <phoneticPr fontId="9"/>
  </si>
  <si>
    <t>1T</t>
    <phoneticPr fontId="9"/>
  </si>
  <si>
    <t>2T</t>
    <phoneticPr fontId="9"/>
  </si>
  <si>
    <t>3T</t>
    <phoneticPr fontId="9"/>
  </si>
  <si>
    <t>4T</t>
    <phoneticPr fontId="9"/>
  </si>
  <si>
    <t>5T</t>
    <phoneticPr fontId="9"/>
  </si>
  <si>
    <t>Revit</t>
    <phoneticPr fontId="9"/>
  </si>
  <si>
    <t>SUM</t>
    <phoneticPr fontId="9"/>
  </si>
  <si>
    <t>+-</t>
    <phoneticPr fontId="9"/>
  </si>
  <si>
    <r>
      <t>TOÀN B</t>
    </r>
    <r>
      <rPr>
        <b/>
        <sz val="11"/>
        <color theme="1"/>
        <rFont val="Calibri"/>
        <family val="2"/>
        <charset val="163"/>
      </rPr>
      <t>Ộ</t>
    </r>
    <phoneticPr fontId="9"/>
  </si>
  <si>
    <t>TNF-DD</t>
    <phoneticPr fontId="9"/>
  </si>
  <si>
    <t>Copy text to revit Daike Daike</t>
    <phoneticPr fontId="9"/>
  </si>
  <si>
    <t>GL</t>
  </si>
  <si>
    <t>axb=A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</si>
</sst>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_ "/>
    <numFmt numFmtId="177" formatCode="0_ "/>
    <numFmt numFmtId="178" formatCode="#,##0_ "/>
    <numFmt numFmtId="179" formatCode="0.000"/>
  </numFmts>
  <fonts count="37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2"/>
      <color theme="1"/>
      <name val="Wingdings"/>
      <charset val="2"/>
    </font>
    <font>
      <vertAlign val="subscript"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6"/>
      <name val="ＭＳ Ｐゴシック"/>
      <family val="2"/>
      <charset val="128"/>
      <scheme val="minor"/>
    </font>
    <font>
      <sz val="12"/>
      <color theme="1"/>
      <name val="ＭＳ ゴシック"/>
      <family val="3"/>
      <charset val="128"/>
    </font>
    <font>
      <sz val="12"/>
      <color theme="1"/>
      <name val="游ゴシック"/>
      <family val="1"/>
      <charset val="128"/>
    </font>
    <font>
      <vertAlign val="superscript"/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9"/>
      <color indexed="81"/>
      <name val="Tahoma"/>
      <family val="2"/>
    </font>
    <font>
      <b/>
      <sz val="12"/>
      <color theme="1"/>
      <name val="Times New Roman"/>
      <family val="1"/>
    </font>
    <font>
      <b/>
      <sz val="12"/>
      <color theme="1"/>
      <name val="游ゴシック"/>
      <family val="1"/>
      <charset val="128"/>
    </font>
    <font>
      <b/>
      <sz val="12"/>
      <color theme="1"/>
      <name val="Times New Roman"/>
      <family val="1"/>
      <charset val="163"/>
    </font>
    <font>
      <b/>
      <sz val="12"/>
      <color theme="1"/>
      <name val="Calibri"/>
      <family val="2"/>
    </font>
    <font>
      <sz val="12"/>
      <color rgb="FFFF0000"/>
      <name val="Times New Roman"/>
      <family val="1"/>
    </font>
    <font>
      <sz val="12"/>
      <color theme="1"/>
      <name val="ＭＳ Ｐ明朝"/>
      <family val="1"/>
      <charset val="128"/>
    </font>
    <font>
      <sz val="12"/>
      <color theme="1"/>
      <name val="ＭＳ 明朝"/>
      <family val="1"/>
      <charset val="128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2"/>
      <charset val="128"/>
      <scheme val="minor"/>
    </font>
    <font>
      <b/>
      <sz val="12"/>
      <color theme="1"/>
      <name val="ＭＳ 明朝"/>
      <family val="1"/>
      <charset val="128"/>
    </font>
    <font>
      <b/>
      <sz val="15"/>
      <color theme="1"/>
      <name val="Times New Roman"/>
      <family val="1"/>
    </font>
    <font>
      <b/>
      <sz val="11"/>
      <color theme="1"/>
      <name val="ＭＳ Ｐゴシック"/>
      <family val="3"/>
      <charset val="128"/>
      <scheme val="minor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2"/>
      <color theme="1"/>
      <name val="ＭＳ Ｐゴシック"/>
      <family val="1"/>
      <charset val="128"/>
    </font>
    <font>
      <b/>
      <u/>
      <sz val="14"/>
      <color theme="1"/>
      <name val="Times New Roman"/>
      <family val="1"/>
    </font>
    <font>
      <sz val="11"/>
      <color rgb="FFFF0000"/>
      <name val="ＭＳ Ｐゴシック"/>
      <family val="2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b/>
      <sz val="11"/>
      <color theme="1"/>
      <name val="Calibri"/>
      <family val="2"/>
      <charset val="163"/>
    </font>
    <font>
      <b/>
      <sz val="13"/>
      <color theme="1"/>
      <name val="ＭＳ Ｐゴシック"/>
      <family val="3"/>
      <charset val="128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2" fillId="0" borderId="0" xfId="0" applyFont="1"/>
    <xf numFmtId="0" fontId="4" fillId="0" borderId="0" xfId="0" applyFont="1"/>
    <xf numFmtId="49" fontId="0" fillId="0" borderId="0" xfId="0" applyNumberFormat="1"/>
    <xf numFmtId="2" fontId="2" fillId="0" borderId="0" xfId="0" applyNumberFormat="1" applyFont="1" applyAlignment="1">
      <alignment horizontal="left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76" fontId="0" fillId="0" borderId="0" xfId="0" applyNumberFormat="1"/>
    <xf numFmtId="0" fontId="15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15" fillId="0" borderId="0" xfId="0" applyFont="1" applyAlignment="1">
      <alignment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1" xfId="0" applyFont="1" applyBorder="1"/>
    <xf numFmtId="0" fontId="2" fillId="3" borderId="3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8" xfId="0" applyFont="1" applyBorder="1" applyAlignment="1">
      <alignment horizontal="center" vertical="center"/>
    </xf>
    <xf numFmtId="0" fontId="2" fillId="0" borderId="10" xfId="0" applyFont="1" applyBorder="1"/>
    <xf numFmtId="2" fontId="2" fillId="8" borderId="1" xfId="0" applyNumberFormat="1" applyFont="1" applyFill="1" applyBorder="1" applyAlignment="1">
      <alignment horizontal="left"/>
    </xf>
    <xf numFmtId="1" fontId="2" fillId="8" borderId="0" xfId="0" applyNumberFormat="1" applyFont="1" applyFill="1" applyAlignment="1">
      <alignment horizontal="left"/>
    </xf>
    <xf numFmtId="1" fontId="2" fillId="8" borderId="1" xfId="0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/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2" fillId="9" borderId="1" xfId="0" applyNumberFormat="1" applyFont="1" applyFill="1" applyBorder="1" applyAlignment="1">
      <alignment horizontal="center" vertical="center"/>
    </xf>
    <xf numFmtId="2" fontId="2" fillId="9" borderId="1" xfId="0" applyNumberFormat="1" applyFont="1" applyFill="1" applyBorder="1" applyAlignment="1">
      <alignment horizontal="center"/>
    </xf>
    <xf numFmtId="0" fontId="2" fillId="9" borderId="1" xfId="0" applyFont="1" applyFill="1" applyBorder="1"/>
    <xf numFmtId="0" fontId="19" fillId="9" borderId="1" xfId="0" applyFont="1" applyFill="1" applyBorder="1"/>
    <xf numFmtId="0" fontId="0" fillId="9" borderId="1" xfId="0" applyFill="1" applyBorder="1" applyAlignment="1">
      <alignment vertical="center"/>
    </xf>
    <xf numFmtId="1" fontId="0" fillId="9" borderId="1" xfId="0" applyNumberFormat="1" applyFill="1" applyBorder="1" applyAlignment="1">
      <alignment vertical="center"/>
    </xf>
    <xf numFmtId="177" fontId="0" fillId="9" borderId="1" xfId="0" applyNumberFormat="1" applyFill="1" applyBorder="1" applyAlignment="1">
      <alignment vertical="center"/>
    </xf>
    <xf numFmtId="0" fontId="0" fillId="9" borderId="1" xfId="0" applyFill="1" applyBorder="1" applyAlignment="1">
      <alignment horizontal="right" vertical="center"/>
    </xf>
    <xf numFmtId="0" fontId="0" fillId="9" borderId="1" xfId="0" quotePrefix="1" applyFill="1" applyBorder="1" applyAlignment="1">
      <alignment horizontal="right" vertical="center"/>
    </xf>
    <xf numFmtId="1" fontId="0" fillId="9" borderId="1" xfId="0" applyNumberFormat="1" applyFill="1" applyBorder="1" applyAlignment="1">
      <alignment horizontal="right" vertical="center"/>
    </xf>
    <xf numFmtId="177" fontId="0" fillId="9" borderId="1" xfId="0" applyNumberFormat="1" applyFill="1" applyBorder="1" applyAlignment="1">
      <alignment horizontal="right" vertical="center"/>
    </xf>
    <xf numFmtId="0" fontId="2" fillId="10" borderId="14" xfId="0" applyFont="1" applyFill="1" applyBorder="1"/>
    <xf numFmtId="0" fontId="2" fillId="10" borderId="6" xfId="0" applyFont="1" applyFill="1" applyBorder="1" applyAlignment="1">
      <alignment horizontal="center" vertical="center"/>
    </xf>
    <xf numFmtId="0" fontId="2" fillId="10" borderId="7" xfId="0" applyFont="1" applyFill="1" applyBorder="1"/>
    <xf numFmtId="0" fontId="2" fillId="11" borderId="14" xfId="0" applyFont="1" applyFill="1" applyBorder="1"/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/>
    <xf numFmtId="0" fontId="2" fillId="12" borderId="6" xfId="0" applyFont="1" applyFill="1" applyBorder="1" applyAlignment="1">
      <alignment horizontal="center" vertical="center"/>
    </xf>
    <xf numFmtId="0" fontId="2" fillId="12" borderId="14" xfId="0" applyFont="1" applyFill="1" applyBorder="1"/>
    <xf numFmtId="0" fontId="2" fillId="12" borderId="7" xfId="0" applyFont="1" applyFill="1" applyBorder="1"/>
    <xf numFmtId="0" fontId="0" fillId="0" borderId="0" xfId="0" applyProtection="1">
      <protection locked="0"/>
    </xf>
    <xf numFmtId="0" fontId="26" fillId="8" borderId="0" xfId="0" applyFont="1" applyFill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15" fillId="0" borderId="0" xfId="0" applyFont="1" applyAlignment="1" applyProtection="1">
      <alignment vertical="center"/>
      <protection locked="0"/>
    </xf>
    <xf numFmtId="0" fontId="15" fillId="8" borderId="0" xfId="0" applyFont="1" applyFill="1" applyAlignment="1" applyProtection="1">
      <alignment vertical="center"/>
      <protection locked="0"/>
    </xf>
    <xf numFmtId="1" fontId="2" fillId="8" borderId="0" xfId="0" applyNumberFormat="1" applyFont="1" applyFill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49" fontId="4" fillId="0" borderId="0" xfId="0" applyNumberFormat="1" applyFont="1" applyProtection="1">
      <protection locked="0"/>
    </xf>
    <xf numFmtId="0" fontId="19" fillId="10" borderId="0" xfId="0" applyFont="1" applyFill="1" applyAlignment="1" applyProtection="1">
      <alignment horizontal="center"/>
      <protection locked="0"/>
    </xf>
    <xf numFmtId="0" fontId="2" fillId="11" borderId="0" xfId="0" applyFont="1" applyFill="1" applyAlignment="1" applyProtection="1">
      <alignment horizontal="center"/>
      <protection locked="0"/>
    </xf>
    <xf numFmtId="0" fontId="2" fillId="13" borderId="0" xfId="0" applyFont="1" applyFill="1" applyAlignment="1" applyProtection="1">
      <alignment horizontal="center"/>
      <protection locked="0"/>
    </xf>
    <xf numFmtId="0" fontId="2" fillId="14" borderId="0" xfId="0" applyFont="1" applyFill="1" applyAlignment="1" applyProtection="1">
      <alignment horizontal="center"/>
      <protection locked="0"/>
    </xf>
    <xf numFmtId="0" fontId="15" fillId="0" borderId="0" xfId="0" applyFont="1" applyAlignment="1" applyProtection="1">
      <alignment horizontal="left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8" borderId="1" xfId="0" applyFont="1" applyFill="1" applyBorder="1" applyAlignment="1" applyProtection="1">
      <alignment horizontal="center" vertical="center"/>
      <protection locked="0"/>
    </xf>
    <xf numFmtId="2" fontId="2" fillId="8" borderId="1" xfId="0" applyNumberFormat="1" applyFont="1" applyFill="1" applyBorder="1" applyAlignment="1" applyProtection="1">
      <alignment horizontal="center" vertical="center"/>
      <protection locked="0"/>
    </xf>
    <xf numFmtId="0" fontId="2" fillId="8" borderId="1" xfId="0" applyFont="1" applyFill="1" applyBorder="1" applyAlignment="1" applyProtection="1">
      <alignment horizontal="center"/>
      <protection locked="0"/>
    </xf>
    <xf numFmtId="0" fontId="2" fillId="5" borderId="1" xfId="0" applyFont="1" applyFill="1" applyBorder="1" applyAlignment="1">
      <alignment horizontal="center"/>
    </xf>
    <xf numFmtId="1" fontId="2" fillId="5" borderId="1" xfId="0" applyNumberFormat="1" applyFont="1" applyFill="1" applyBorder="1" applyAlignment="1">
      <alignment horizontal="center"/>
    </xf>
    <xf numFmtId="0" fontId="19" fillId="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0" borderId="13" xfId="0" applyFont="1" applyBorder="1" applyAlignment="1">
      <alignment horizontal="center"/>
    </xf>
    <xf numFmtId="0" fontId="29" fillId="11" borderId="1" xfId="0" applyFont="1" applyFill="1" applyBorder="1" applyAlignment="1">
      <alignment horizontal="center"/>
    </xf>
    <xf numFmtId="0" fontId="29" fillId="4" borderId="1" xfId="0" applyFont="1" applyFill="1" applyBorder="1" applyAlignment="1">
      <alignment horizontal="center"/>
    </xf>
    <xf numFmtId="0" fontId="29" fillId="6" borderId="1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0" fontId="28" fillId="11" borderId="1" xfId="0" applyFont="1" applyFill="1" applyBorder="1" applyAlignment="1">
      <alignment horizontal="center"/>
    </xf>
    <xf numFmtId="0" fontId="28" fillId="0" borderId="22" xfId="0" applyFont="1" applyBorder="1" applyAlignment="1">
      <alignment horizontal="center"/>
    </xf>
    <xf numFmtId="0" fontId="27" fillId="8" borderId="0" xfId="0" applyFont="1" applyFill="1" applyAlignment="1" applyProtection="1">
      <alignment horizontal="center" vertical="center"/>
      <protection locked="0"/>
    </xf>
    <xf numFmtId="0" fontId="27" fillId="5" borderId="0" xfId="0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2" fillId="5" borderId="1" xfId="0" applyFont="1" applyFill="1" applyBorder="1" applyAlignment="1" applyProtection="1">
      <alignment horizontal="center"/>
      <protection locked="0"/>
    </xf>
    <xf numFmtId="0" fontId="0" fillId="15" borderId="18" xfId="0" applyFill="1" applyBorder="1" applyAlignment="1">
      <alignment horizontal="center"/>
    </xf>
    <xf numFmtId="0" fontId="0" fillId="15" borderId="20" xfId="0" applyFill="1" applyBorder="1" applyAlignment="1">
      <alignment horizontal="center"/>
    </xf>
    <xf numFmtId="0" fontId="0" fillId="15" borderId="12" xfId="0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0" fontId="0" fillId="15" borderId="22" xfId="0" applyFill="1" applyBorder="1" applyAlignment="1">
      <alignment horizontal="center"/>
    </xf>
    <xf numFmtId="0" fontId="0" fillId="15" borderId="26" xfId="0" applyFill="1" applyBorder="1" applyAlignment="1">
      <alignment horizontal="center"/>
    </xf>
    <xf numFmtId="178" fontId="19" fillId="5" borderId="1" xfId="0" applyNumberFormat="1" applyFont="1" applyFill="1" applyBorder="1" applyAlignment="1">
      <alignment horizontal="center"/>
    </xf>
    <xf numFmtId="178" fontId="4" fillId="0" borderId="0" xfId="0" applyNumberFormat="1" applyFont="1" applyProtection="1">
      <protection locked="0"/>
    </xf>
    <xf numFmtId="0" fontId="2" fillId="5" borderId="1" xfId="0" quotePrefix="1" applyFont="1" applyFill="1" applyBorder="1" applyAlignment="1">
      <alignment horizontal="left"/>
    </xf>
    <xf numFmtId="0" fontId="31" fillId="0" borderId="0" xfId="0" applyFont="1" applyAlignment="1" applyProtection="1">
      <alignment horizontal="center" vertical="center"/>
      <protection locked="0"/>
    </xf>
    <xf numFmtId="0" fontId="0" fillId="11" borderId="27" xfId="0" applyFill="1" applyBorder="1" applyAlignment="1">
      <alignment horizontal="center"/>
    </xf>
    <xf numFmtId="0" fontId="0" fillId="11" borderId="28" xfId="0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2" fillId="8" borderId="0" xfId="0" applyFont="1" applyFill="1" applyAlignment="1" applyProtection="1">
      <alignment horizontal="center"/>
      <protection locked="0"/>
    </xf>
    <xf numFmtId="0" fontId="2" fillId="5" borderId="1" xfId="0" applyFont="1" applyFill="1" applyBorder="1" applyAlignment="1">
      <alignment horizontal="left" vertical="center"/>
    </xf>
    <xf numFmtId="0" fontId="27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27" fillId="9" borderId="0" xfId="0" applyFont="1" applyFill="1"/>
    <xf numFmtId="0" fontId="27" fillId="0" borderId="0" xfId="0" applyFont="1"/>
    <xf numFmtId="0" fontId="32" fillId="8" borderId="0" xfId="0" applyFont="1" applyFill="1"/>
    <xf numFmtId="0" fontId="33" fillId="0" borderId="0" xfId="0" quotePrefix="1" applyFont="1" applyAlignment="1">
      <alignment horizontal="center"/>
    </xf>
    <xf numFmtId="0" fontId="32" fillId="8" borderId="0" xfId="0" applyFont="1" applyFill="1" applyAlignment="1">
      <alignment horizontal="center"/>
    </xf>
    <xf numFmtId="0" fontId="27" fillId="9" borderId="0" xfId="0" applyFont="1" applyFill="1" applyAlignment="1">
      <alignment horizontal="center"/>
    </xf>
    <xf numFmtId="0" fontId="36" fillId="16" borderId="1" xfId="0" applyFont="1" applyFill="1" applyBorder="1" applyAlignment="1">
      <alignment horizontal="center"/>
    </xf>
    <xf numFmtId="0" fontId="34" fillId="16" borderId="1" xfId="0" applyFont="1" applyFill="1" applyBorder="1"/>
    <xf numFmtId="0" fontId="0" fillId="15" borderId="30" xfId="0" applyFill="1" applyBorder="1" applyAlignment="1">
      <alignment horizontal="center"/>
    </xf>
    <xf numFmtId="0" fontId="0" fillId="15" borderId="31" xfId="0" applyFill="1" applyBorder="1" applyAlignment="1">
      <alignment horizontal="center"/>
    </xf>
    <xf numFmtId="0" fontId="2" fillId="5" borderId="1" xfId="0" quotePrefix="1" applyFont="1" applyFill="1" applyBorder="1" applyAlignment="1">
      <alignment horizontal="left" vertical="center"/>
    </xf>
    <xf numFmtId="179" fontId="2" fillId="17" borderId="1" xfId="0" applyNumberFormat="1" applyFont="1" applyFill="1" applyBorder="1"/>
    <xf numFmtId="179" fontId="2" fillId="18" borderId="1" xfId="0" applyNumberFormat="1" applyFont="1" applyFill="1" applyBorder="1"/>
    <xf numFmtId="0" fontId="2" fillId="17" borderId="1" xfId="0" applyFont="1" applyFill="1" applyBorder="1"/>
    <xf numFmtId="0" fontId="2" fillId="18" borderId="1" xfId="0" applyFont="1" applyFill="1" applyBorder="1"/>
    <xf numFmtId="1" fontId="8" fillId="18" borderId="1" xfId="0" applyNumberFormat="1" applyFont="1" applyFill="1" applyBorder="1"/>
    <xf numFmtId="0" fontId="0" fillId="12" borderId="3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9" xfId="0" applyFont="1" applyBorder="1" applyAlignment="1">
      <alignment horizontal="left"/>
    </xf>
    <xf numFmtId="0" fontId="0" fillId="11" borderId="3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0" fillId="12" borderId="6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22" fillId="12" borderId="15" xfId="0" applyFont="1" applyFill="1" applyBorder="1" applyAlignment="1">
      <alignment horizontal="center" vertical="center"/>
    </xf>
    <xf numFmtId="0" fontId="23" fillId="12" borderId="16" xfId="0" applyFont="1" applyFill="1" applyBorder="1" applyAlignment="1">
      <alignment horizontal="center" vertical="center"/>
    </xf>
    <xf numFmtId="0" fontId="23" fillId="12" borderId="17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24" fillId="11" borderId="15" xfId="0" applyFont="1" applyFill="1" applyBorder="1" applyAlignment="1">
      <alignment horizontal="center" vertical="center"/>
    </xf>
    <xf numFmtId="0" fontId="24" fillId="11" borderId="16" xfId="0" applyFont="1" applyFill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15" fillId="16" borderId="3" xfId="0" applyFont="1" applyFill="1" applyBorder="1" applyAlignment="1">
      <alignment horizontal="center"/>
    </xf>
    <xf numFmtId="0" fontId="15" fillId="16" borderId="4" xfId="0" applyFont="1" applyFill="1" applyBorder="1" applyAlignment="1">
      <alignment horizontal="center"/>
    </xf>
    <xf numFmtId="0" fontId="15" fillId="16" borderId="5" xfId="0" applyFont="1" applyFill="1" applyBorder="1" applyAlignment="1">
      <alignment horizontal="center"/>
    </xf>
    <xf numFmtId="0" fontId="15" fillId="0" borderId="0" xfId="0" applyFont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8" fillId="0" borderId="3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21" xfId="0" applyFont="1" applyBorder="1" applyAlignment="1">
      <alignment horizontal="center"/>
    </xf>
    <xf numFmtId="0" fontId="26" fillId="7" borderId="18" xfId="0" applyFont="1" applyFill="1" applyBorder="1" applyAlignment="1">
      <alignment horizontal="center" vertical="center"/>
    </xf>
    <xf numFmtId="0" fontId="26" fillId="7" borderId="19" xfId="0" applyFont="1" applyFill="1" applyBorder="1" applyAlignment="1">
      <alignment horizontal="center" vertical="center"/>
    </xf>
    <xf numFmtId="0" fontId="26" fillId="7" borderId="20" xfId="0" applyFont="1" applyFill="1" applyBorder="1" applyAlignment="1">
      <alignment horizontal="center" vertical="center"/>
    </xf>
    <xf numFmtId="0" fontId="28" fillId="0" borderId="23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0" fontId="28" fillId="0" borderId="25" xfId="0" applyFont="1" applyBorder="1" applyAlignment="1">
      <alignment horizontal="center"/>
    </xf>
  </cellXfs>
  <cellStyles count="1">
    <cellStyle name="Normal" xfId="0" builtinId="0"/>
  </cellStyles>
  <dxfs count="26">
    <dxf>
      <font>
        <b/>
        <i/>
      </font>
      <fill>
        <patternFill>
          <bgColor rgb="FF00B05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  <color rgb="FFFF5050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strike val="0"/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strike val="0"/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strike val="0"/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strike val="0"/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strike val="0"/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strike val="0"/>
        <color theme="0"/>
      </font>
      <fill>
        <patternFill patternType="none">
          <bgColor auto="1"/>
        </patternFill>
      </fill>
      <border>
        <left/>
        <right/>
        <top/>
        <bottom/>
      </border>
    </dxf>
  </dxfs>
  <tableStyles count="0" defaultTableStyle="TableStyleMedium2" defaultPivotStyle="PivotStyleLight16"/>
  <colors>
    <mruColors>
      <color rgb="FFFF9966"/>
      <color rgb="FFFF5050"/>
      <color rgb="FF009999"/>
      <color rgb="FF3366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113110</xdr:colOff>
      <xdr:row>2</xdr:row>
      <xdr:rowOff>196454</xdr:rowOff>
    </xdr:from>
    <xdr:to>
      <xdr:col>15</xdr:col>
      <xdr:colOff>201378</xdr:colOff>
      <xdr:row>8</xdr:row>
      <xdr:rowOff>11906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CBE913-55C9-4C47-89ED-DEF0B82C1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95750" y="760334"/>
          <a:ext cx="4355468" cy="104989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U SY CUONG" id="{47A9B339-335B-464B-B2D7-91237E3EB52E}" userId="S::sycuong@v-takeuchi.vn::f38abc60-f428-4b4a-b4d1-5395add31da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6" dT="2021-04-14T02:37:08.74" personId="{47A9B339-335B-464B-B2D7-91237E3EB52E}" id="{9B56C79C-9437-40EC-B7C2-B2BE52540E6A}">
    <text>Trừ ngược Sima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" dT="2021-05-21T01:29:42.36" personId="{47A9B339-335B-464B-B2D7-91237E3EB52E}" id="{11015B03-BAAA-4719-AA47-42106D64DC04}">
    <text>Nhập mã dự án</text>
  </threadedComment>
  <threadedComment ref="D2" dT="2021-10-09T16:01:16.25" personId="{47A9B339-335B-464B-B2D7-91237E3EB52E}" id="{45128E76-7537-41ED-9E3F-89EE322112EB}">
    <text>Điền mốc cao độ</text>
  </threadedComment>
  <threadedComment ref="E2" dT="2021-05-21T01:29:59.28" personId="{47A9B339-335B-464B-B2D7-91237E3EB52E}" id="{5C7B655E-6783-4EB3-9B6C-16747B2371F8}">
    <text>Cao độ sau cải tạo vùng 1</text>
  </threadedComment>
  <threadedComment ref="A9" dT="2021-05-13T03:35:06.84" personId="{47A9B339-335B-464B-B2D7-91237E3EB52E}" id="{1CFA7429-9202-47DF-B470-AD9C407C4BD1}">
    <text>Nhập tương ứng vùng cao độ sau cải tạo khác nhau.Vùng "1" or "2".Cấu kiện nằm ở cả 2 vùng cải tạo nhập theo vùng cao độ cải tạo sâu hơn.</text>
  </threadedComment>
  <threadedComment ref="B9" dT="2021-05-13T03:35:33.97" personId="{47A9B339-335B-464B-B2D7-91237E3EB52E}" id="{42D39ED0-C0C3-46EC-BAEC-31F5B2A260FC}">
    <text>Input STT</text>
  </threadedComment>
  <threadedComment ref="C9" dT="2021-05-13T03:35:44.57" personId="{47A9B339-335B-464B-B2D7-91237E3EB52E}" id="{5732BD74-BFEF-4126-98CD-DDCE0035E7F7}">
    <text>DSC: Group móng cùng chiều cao móng cùng mặt cắt JWcad, viết cách nhau bằng dấu phẩy ",".</text>
  </threadedComment>
  <threadedComment ref="D9" dT="2021-05-20T04:54:54.88" personId="{47A9B339-335B-464B-B2D7-91237E3EB52E}" id="{A6820D03-EAA4-496E-B7AC-7F725652DD8C}">
    <text>Input loại móng Thường/Daike/FG/FW/Sàn/Pit(Cấu kiện khác giống Pit như rãnh nước, cống thu nước..)</text>
  </threadedComment>
  <threadedComment ref="F9" dT="2021-10-09T16:05:32.44" personId="{47A9B339-335B-464B-B2D7-91237E3EB52E}" id="{1E0D79B3-7B2E-4828-8C77-3BB5A14D2196}">
    <text>Điền cao độ mặt trên cấu kiện theo hệ tọa độ, với cấu kiện dốc điền cao độ ở dưới.</text>
  </threadedComment>
  <threadedComment ref="G9" dT="2021-10-09T16:06:06.33" personId="{47A9B339-335B-464B-B2D7-91237E3EB52E}" id="{4F6AB0F4-927A-4B27-A41F-6A81DE56F986}">
    <text>Chỉ điền cho cấu kiện dốc, H2 là cao độ ở trên.</text>
  </threadedComment>
  <threadedComment ref="I9" dT="2021-10-09T16:06:49.94" personId="{47A9B339-335B-464B-B2D7-91237E3EB52E}" id="{EB367962-4AA2-450E-9F95-55F90654F72A}">
    <text>Điền chiều cao D2 của móng Daike. Ví dụ 600~200 thì D2 là 200.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B1:U50"/>
  <sheetViews>
    <sheetView view="pageBreakPreview" zoomScale="85" zoomScaleNormal="70" zoomScaleSheetLayoutView="85" workbookViewId="0">
      <selection activeCell="F2" sqref="F2"/>
    </sheetView>
  </sheetViews>
  <sheetFormatPr defaultRowHeight="13.5" x14ac:dyDescent="0.15"/>
  <cols>
    <col min="1" max="1" width="6.375" customWidth="1"/>
    <col min="2" max="2" width="10.375" customWidth="1"/>
    <col min="3" max="3" width="11.625" customWidth="1"/>
    <col min="4" max="4" width="11.75" customWidth="1"/>
    <col min="5" max="5" width="11.25" customWidth="1"/>
    <col min="6" max="6" width="11.75" customWidth="1"/>
    <col min="7" max="7" width="9.625" customWidth="1"/>
    <col min="8" max="8" width="10.25" customWidth="1"/>
    <col min="9" max="9" width="9" bestFit="1" customWidth="1"/>
    <col min="10" max="10" width="11.625" customWidth="1"/>
    <col min="11" max="11" width="11.375" bestFit="1" customWidth="1"/>
    <col min="12" max="13" width="10" customWidth="1"/>
    <col min="14" max="14" width="6.375" customWidth="1"/>
    <col min="17" max="17" width="13" customWidth="1"/>
    <col min="18" max="18" width="10.75" customWidth="1"/>
    <col min="19" max="19" width="12.375" customWidth="1"/>
    <col min="20" max="20" width="6.375" customWidth="1"/>
    <col min="21" max="21" width="6.875" style="83" customWidth="1"/>
  </cols>
  <sheetData>
    <row r="1" spans="2:21" ht="15.75" x14ac:dyDescent="0.25">
      <c r="B1" s="8" t="s">
        <v>0</v>
      </c>
      <c r="C1" s="1"/>
      <c r="D1" s="1"/>
      <c r="E1" s="1"/>
      <c r="F1" s="1"/>
    </row>
    <row r="2" spans="2:21" ht="15.75" customHeight="1" x14ac:dyDescent="0.25">
      <c r="B2" s="123" t="s">
        <v>136</v>
      </c>
      <c r="C2" s="123"/>
      <c r="D2" s="123"/>
      <c r="E2" s="19"/>
      <c r="F2" s="1" t="s">
        <v>1</v>
      </c>
    </row>
    <row r="3" spans="2:21" ht="15.75" customHeight="1" x14ac:dyDescent="0.25">
      <c r="B3" s="123" t="s">
        <v>53</v>
      </c>
      <c r="C3" s="123"/>
      <c r="D3" s="123"/>
      <c r="E3" s="19"/>
      <c r="F3" s="1" t="s">
        <v>1</v>
      </c>
      <c r="J3" s="159" t="s">
        <v>138</v>
      </c>
      <c r="K3" s="40" t="s">
        <v>41</v>
      </c>
      <c r="L3" s="39"/>
      <c r="M3" s="41"/>
      <c r="O3" s="157" t="s">
        <v>18</v>
      </c>
      <c r="P3" s="157"/>
      <c r="Q3" s="145" t="s">
        <v>139</v>
      </c>
      <c r="R3" s="158"/>
      <c r="S3" s="146"/>
    </row>
    <row r="4" spans="2:21" ht="15.75" customHeight="1" x14ac:dyDescent="0.25">
      <c r="J4" s="159"/>
      <c r="K4" s="30" t="e">
        <f>1/E2/E6</f>
        <v>#DIV/0!</v>
      </c>
      <c r="L4" s="23">
        <v>1.21</v>
      </c>
      <c r="M4" s="31" t="e">
        <f>K4/L4</f>
        <v>#DIV/0!</v>
      </c>
      <c r="O4" s="145" t="s">
        <v>20</v>
      </c>
      <c r="P4" s="146"/>
      <c r="Q4" s="5" t="s">
        <v>27</v>
      </c>
      <c r="R4" s="24">
        <v>80</v>
      </c>
      <c r="S4" s="5" t="s">
        <v>29</v>
      </c>
    </row>
    <row r="5" spans="2:21" ht="15.75" customHeight="1" x14ac:dyDescent="0.25">
      <c r="B5" s="133" t="s">
        <v>2</v>
      </c>
      <c r="C5" s="133"/>
      <c r="D5" s="133"/>
      <c r="E5" s="133"/>
      <c r="F5" s="133"/>
      <c r="J5" s="159"/>
      <c r="K5" s="16"/>
      <c r="L5" s="23">
        <v>33.450000000000003</v>
      </c>
      <c r="M5" s="31" t="e">
        <f>L5/K4</f>
        <v>#DIV/0!</v>
      </c>
      <c r="O5" s="145" t="s">
        <v>21</v>
      </c>
      <c r="P5" s="146"/>
      <c r="Q5" s="5" t="s">
        <v>28</v>
      </c>
      <c r="R5" s="24">
        <v>200</v>
      </c>
      <c r="S5" s="5"/>
    </row>
    <row r="6" spans="2:21" ht="15.75" customHeight="1" x14ac:dyDescent="0.25">
      <c r="B6" s="123" t="s">
        <v>137</v>
      </c>
      <c r="C6" s="123"/>
      <c r="D6" s="123"/>
      <c r="E6" s="19"/>
      <c r="F6" s="1" t="s">
        <v>3</v>
      </c>
      <c r="J6" s="159"/>
      <c r="K6" s="17" t="s">
        <v>42</v>
      </c>
      <c r="L6" s="1"/>
      <c r="M6" s="13"/>
      <c r="O6" s="145" t="s">
        <v>25</v>
      </c>
      <c r="P6" s="146"/>
      <c r="Q6" s="5" t="s">
        <v>141</v>
      </c>
      <c r="R6" s="32">
        <f>E2*1000</f>
        <v>0</v>
      </c>
      <c r="S6" s="5" t="s">
        <v>34</v>
      </c>
      <c r="T6" s="101" t="s">
        <v>152</v>
      </c>
    </row>
    <row r="7" spans="2:21" ht="15.75" customHeight="1" x14ac:dyDescent="0.25">
      <c r="B7" s="123" t="s">
        <v>63</v>
      </c>
      <c r="C7" s="123"/>
      <c r="D7" s="123"/>
      <c r="E7" s="19"/>
      <c r="F7" s="1" t="s">
        <v>3</v>
      </c>
      <c r="J7" s="159"/>
      <c r="K7" s="30" t="e">
        <f>2/E2/E6</f>
        <v>#DIV/0!</v>
      </c>
      <c r="L7" s="30">
        <f>L4</f>
        <v>1.21</v>
      </c>
      <c r="M7" s="31" t="e">
        <f>K7/L7</f>
        <v>#DIV/0!</v>
      </c>
      <c r="O7" s="147" t="s">
        <v>22</v>
      </c>
      <c r="P7" s="148"/>
      <c r="Q7" s="5" t="s">
        <v>30</v>
      </c>
      <c r="R7" s="32">
        <f>E6*1000</f>
        <v>0</v>
      </c>
      <c r="S7" s="5" t="s">
        <v>35</v>
      </c>
      <c r="T7" s="100" t="s">
        <v>147</v>
      </c>
      <c r="U7" s="106"/>
    </row>
    <row r="8" spans="2:21" ht="15.75" customHeight="1" x14ac:dyDescent="0.25">
      <c r="B8" s="123" t="s">
        <v>54</v>
      </c>
      <c r="C8" s="123"/>
      <c r="D8" s="123"/>
      <c r="E8" s="19"/>
      <c r="F8" s="1" t="s">
        <v>3</v>
      </c>
      <c r="J8" s="159"/>
      <c r="K8" s="16"/>
      <c r="L8" s="30">
        <f>L5</f>
        <v>33.450000000000003</v>
      </c>
      <c r="M8" s="31" t="e">
        <f>M5</f>
        <v>#DIV/0!</v>
      </c>
      <c r="O8" s="149"/>
      <c r="P8" s="150"/>
      <c r="Q8" s="5" t="s">
        <v>31</v>
      </c>
      <c r="R8" s="33">
        <f>E10-R23</f>
        <v>0</v>
      </c>
      <c r="S8" s="5" t="s">
        <v>35</v>
      </c>
      <c r="T8" s="100" t="s">
        <v>148</v>
      </c>
      <c r="U8" s="106"/>
    </row>
    <row r="9" spans="2:21" ht="15.75" customHeight="1" x14ac:dyDescent="0.25">
      <c r="B9" s="9"/>
      <c r="C9" s="9"/>
      <c r="D9" s="9"/>
      <c r="E9" s="4"/>
      <c r="F9" s="1"/>
      <c r="J9" s="159"/>
      <c r="K9" s="17" t="s">
        <v>43</v>
      </c>
      <c r="L9" s="1"/>
      <c r="M9" s="13"/>
      <c r="O9" s="151"/>
      <c r="P9" s="152"/>
      <c r="Q9" s="5" t="s">
        <v>32</v>
      </c>
      <c r="R9" s="33">
        <f>E10-R23-R7</f>
        <v>0</v>
      </c>
      <c r="S9" s="5" t="s">
        <v>35</v>
      </c>
      <c r="T9" s="100" t="s">
        <v>149</v>
      </c>
      <c r="U9" s="106"/>
    </row>
    <row r="10" spans="2:21" ht="15.75" customHeight="1" x14ac:dyDescent="0.25">
      <c r="B10" s="11" t="s">
        <v>62</v>
      </c>
      <c r="C10" s="11"/>
      <c r="D10" s="11"/>
      <c r="E10" s="20"/>
      <c r="F10" s="1" t="s">
        <v>35</v>
      </c>
      <c r="J10" s="159"/>
      <c r="K10" s="30" t="e">
        <f>3/E2/E6</f>
        <v>#DIV/0!</v>
      </c>
      <c r="L10" s="30">
        <f>L4</f>
        <v>1.21</v>
      </c>
      <c r="M10" s="31" t="e">
        <f>K10/L10</f>
        <v>#DIV/0!</v>
      </c>
      <c r="O10" s="145" t="s">
        <v>23</v>
      </c>
      <c r="P10" s="146"/>
      <c r="Q10" s="5" t="s">
        <v>140</v>
      </c>
      <c r="R10" s="33">
        <f>ROUNDUP(F32,0)</f>
        <v>0</v>
      </c>
      <c r="S10" s="5" t="s">
        <v>36</v>
      </c>
      <c r="T10" s="100" t="s">
        <v>150</v>
      </c>
      <c r="U10" s="106"/>
    </row>
    <row r="11" spans="2:21" ht="15.75" customHeight="1" x14ac:dyDescent="0.25">
      <c r="B11" s="9"/>
      <c r="C11" s="9"/>
      <c r="D11" s="9"/>
      <c r="E11" s="4"/>
      <c r="F11" s="1"/>
      <c r="J11" s="159"/>
      <c r="K11" s="16"/>
      <c r="L11" s="30">
        <f>L5</f>
        <v>33.450000000000003</v>
      </c>
      <c r="M11" s="31" t="e">
        <f>M5</f>
        <v>#DIV/0!</v>
      </c>
      <c r="O11" s="145" t="s">
        <v>24</v>
      </c>
      <c r="P11" s="146"/>
      <c r="Q11" s="5" t="s">
        <v>140</v>
      </c>
      <c r="R11" s="33">
        <f>ROUNDUP(F35,0)</f>
        <v>0</v>
      </c>
      <c r="S11" s="5" t="s">
        <v>37</v>
      </c>
      <c r="T11" s="100" t="s">
        <v>151</v>
      </c>
      <c r="U11" s="106"/>
    </row>
    <row r="12" spans="2:21" ht="15.75" customHeight="1" x14ac:dyDescent="0.25">
      <c r="B12" s="133" t="s">
        <v>16</v>
      </c>
      <c r="C12" s="133"/>
      <c r="D12" s="133"/>
      <c r="E12" s="133"/>
      <c r="F12" s="133"/>
      <c r="J12" s="159"/>
      <c r="K12" s="17" t="s">
        <v>44</v>
      </c>
      <c r="L12" s="1"/>
      <c r="M12" s="13"/>
      <c r="O12" s="145" t="s">
        <v>26</v>
      </c>
      <c r="P12" s="146"/>
      <c r="Q12" s="5" t="s">
        <v>140</v>
      </c>
      <c r="R12" s="24"/>
      <c r="S12" s="5" t="s">
        <v>38</v>
      </c>
    </row>
    <row r="13" spans="2:21" ht="15.75" customHeight="1" x14ac:dyDescent="0.25">
      <c r="B13" s="134" t="s">
        <v>52</v>
      </c>
      <c r="C13" s="134"/>
      <c r="D13" s="134"/>
      <c r="E13" s="134"/>
      <c r="F13" s="134"/>
      <c r="J13" s="159"/>
      <c r="K13" s="30" t="e">
        <f>4/E2/E6</f>
        <v>#DIV/0!</v>
      </c>
      <c r="L13" s="30">
        <f>L4</f>
        <v>1.21</v>
      </c>
      <c r="M13" s="31" t="e">
        <f>K13/L13</f>
        <v>#DIV/0!</v>
      </c>
      <c r="O13" s="147"/>
      <c r="P13" s="148"/>
      <c r="Q13" s="120" t="s">
        <v>40</v>
      </c>
      <c r="R13" s="121"/>
      <c r="S13" s="122"/>
      <c r="T13" s="103" t="s">
        <v>153</v>
      </c>
      <c r="U13" s="107">
        <f>SUM(LEFT(T7,1)*U7,LEFT(T8,1)*U8,LEFT(T9,1)*U9,LEFT(T10,1)*U10,LEFT(T11,1)*U11)</f>
        <v>0</v>
      </c>
    </row>
    <row r="14" spans="2:21" ht="15.75" customHeight="1" x14ac:dyDescent="0.25">
      <c r="B14" s="26" t="s">
        <v>7</v>
      </c>
      <c r="C14" s="26" t="s">
        <v>8</v>
      </c>
      <c r="D14" s="26" t="s">
        <v>9</v>
      </c>
      <c r="E14" s="26" t="s">
        <v>10</v>
      </c>
      <c r="F14" s="27" t="s">
        <v>11</v>
      </c>
      <c r="J14" s="159"/>
      <c r="K14" s="16"/>
      <c r="L14" s="30">
        <f>L5</f>
        <v>33.450000000000003</v>
      </c>
      <c r="M14" s="31" t="e">
        <f>M5</f>
        <v>#DIV/0!</v>
      </c>
      <c r="O14" s="149"/>
      <c r="P14" s="150"/>
      <c r="Q14" s="120" t="s">
        <v>39</v>
      </c>
      <c r="R14" s="121"/>
      <c r="S14" s="122"/>
      <c r="T14" s="105" t="s">
        <v>154</v>
      </c>
      <c r="U14" s="83">
        <f>+I38-U13</f>
        <v>0</v>
      </c>
    </row>
    <row r="15" spans="2:21" ht="15.75" customHeight="1" x14ac:dyDescent="0.25">
      <c r="B15" s="26">
        <v>1</v>
      </c>
      <c r="C15" s="21">
        <v>1</v>
      </c>
      <c r="D15" s="22">
        <v>1</v>
      </c>
      <c r="E15" s="22"/>
      <c r="F15" s="28">
        <f>IF(C15="","",C15*D15*E15)</f>
        <v>0</v>
      </c>
      <c r="J15" s="159"/>
      <c r="K15" s="18"/>
      <c r="L15" s="10"/>
      <c r="M15" s="14"/>
      <c r="O15" s="151"/>
      <c r="P15" s="152"/>
      <c r="Q15" s="120" t="s">
        <v>46</v>
      </c>
      <c r="R15" s="121"/>
      <c r="S15" s="122"/>
    </row>
    <row r="16" spans="2:21" ht="15.75" customHeight="1" x14ac:dyDescent="0.15">
      <c r="B16" s="26">
        <v>2</v>
      </c>
      <c r="C16" s="21">
        <v>1</v>
      </c>
      <c r="D16" s="28">
        <v>-1</v>
      </c>
      <c r="E16" s="28">
        <f>F30</f>
        <v>0</v>
      </c>
      <c r="F16" s="28">
        <f>IF(C16="","",C16*D16*E16)</f>
        <v>0</v>
      </c>
      <c r="H16" s="7"/>
    </row>
    <row r="17" spans="2:21" ht="15.75" customHeight="1" x14ac:dyDescent="0.15">
      <c r="F17" s="28">
        <f>SUM(F15:F16)</f>
        <v>0</v>
      </c>
    </row>
    <row r="18" spans="2:21" ht="15.75" customHeight="1" x14ac:dyDescent="0.15"/>
    <row r="19" spans="2:21" ht="15.75" customHeight="1" x14ac:dyDescent="0.25">
      <c r="B19" s="134" t="s">
        <v>5</v>
      </c>
      <c r="C19" s="134"/>
      <c r="D19" s="134"/>
      <c r="E19" s="134"/>
      <c r="F19" s="134"/>
      <c r="J19" s="154" t="s">
        <v>47</v>
      </c>
      <c r="K19" s="43" t="s">
        <v>41</v>
      </c>
      <c r="L19" s="42"/>
      <c r="M19" s="44"/>
      <c r="O19" s="125" t="s">
        <v>18</v>
      </c>
      <c r="P19" s="126"/>
      <c r="Q19" s="125" t="s">
        <v>64</v>
      </c>
      <c r="R19" s="153"/>
      <c r="S19" s="126"/>
    </row>
    <row r="20" spans="2:21" ht="15.75" customHeight="1" x14ac:dyDescent="0.25">
      <c r="B20" s="26" t="s">
        <v>7</v>
      </c>
      <c r="C20" s="26" t="s">
        <v>8</v>
      </c>
      <c r="D20" s="26" t="s">
        <v>9</v>
      </c>
      <c r="E20" s="26" t="s">
        <v>10</v>
      </c>
      <c r="F20" s="27" t="s">
        <v>11</v>
      </c>
      <c r="G20" s="26" t="s">
        <v>55</v>
      </c>
      <c r="H20" s="26" t="s">
        <v>56</v>
      </c>
      <c r="J20" s="155"/>
      <c r="K20" s="30" t="e">
        <f>1/E3/E7</f>
        <v>#DIV/0!</v>
      </c>
      <c r="L20" s="23">
        <v>5.51</v>
      </c>
      <c r="M20" s="31" t="e">
        <f>K20/L20</f>
        <v>#DIV/0!</v>
      </c>
      <c r="O20" s="125" t="s">
        <v>20</v>
      </c>
      <c r="P20" s="126"/>
      <c r="Q20" s="5" t="s">
        <v>27</v>
      </c>
      <c r="R20" s="32">
        <f>R4</f>
        <v>80</v>
      </c>
      <c r="S20" s="5" t="s">
        <v>29</v>
      </c>
    </row>
    <row r="21" spans="2:21" ht="15.75" customHeight="1" x14ac:dyDescent="0.25">
      <c r="B21" s="26">
        <v>1</v>
      </c>
      <c r="C21" s="21"/>
      <c r="D21" s="22">
        <v>1</v>
      </c>
      <c r="E21" s="22"/>
      <c r="F21" s="28" t="str">
        <f>IF(C21="","",C21*D21*E21)</f>
        <v/>
      </c>
      <c r="G21" s="28" t="str">
        <f>IF(C21="","",E21/(1/$E$3/$E$7))</f>
        <v/>
      </c>
      <c r="H21" s="12" t="str">
        <f>IF(C21="","",ROUNDUP(G21,0))</f>
        <v/>
      </c>
      <c r="J21" s="155"/>
      <c r="K21" s="16"/>
      <c r="L21" s="23">
        <v>9.6389999999999993</v>
      </c>
      <c r="M21" s="31" t="e">
        <f>L21/K20</f>
        <v>#DIV/0!</v>
      </c>
      <c r="O21" s="125" t="s">
        <v>21</v>
      </c>
      <c r="P21" s="126"/>
      <c r="Q21" s="5" t="s">
        <v>28</v>
      </c>
      <c r="R21" s="32">
        <f>R5</f>
        <v>200</v>
      </c>
      <c r="S21" s="5"/>
    </row>
    <row r="22" spans="2:21" ht="15.75" customHeight="1" x14ac:dyDescent="0.25">
      <c r="B22" s="26">
        <v>2</v>
      </c>
      <c r="C22" s="21"/>
      <c r="D22" s="22">
        <v>1</v>
      </c>
      <c r="E22" s="22"/>
      <c r="F22" s="28" t="str">
        <f t="shared" ref="F22:F29" si="0">IF(C22="","",C22*D22*E22)</f>
        <v/>
      </c>
      <c r="G22" s="28" t="str">
        <f t="shared" ref="G22:G29" si="1">IF(C22="","",E22/(1/$E$3/$E$7))</f>
        <v/>
      </c>
      <c r="H22" s="12" t="str">
        <f t="shared" ref="H22:H29" si="2">IF(C22="","",ROUNDUP(G22,0))</f>
        <v/>
      </c>
      <c r="J22" s="155"/>
      <c r="K22" s="17" t="s">
        <v>42</v>
      </c>
      <c r="L22" s="1"/>
      <c r="M22" s="13"/>
      <c r="O22" s="125" t="s">
        <v>25</v>
      </c>
      <c r="P22" s="126"/>
      <c r="Q22" s="5" t="s">
        <v>67</v>
      </c>
      <c r="R22" s="32">
        <f>E3*1000</f>
        <v>0</v>
      </c>
      <c r="S22" s="5" t="s">
        <v>34</v>
      </c>
      <c r="T22" s="101" t="s">
        <v>152</v>
      </c>
    </row>
    <row r="23" spans="2:21" ht="15.75" customHeight="1" x14ac:dyDescent="0.25">
      <c r="B23" s="26">
        <v>3</v>
      </c>
      <c r="C23" s="21"/>
      <c r="D23" s="22">
        <v>1</v>
      </c>
      <c r="E23" s="22"/>
      <c r="F23" s="28" t="str">
        <f t="shared" si="0"/>
        <v/>
      </c>
      <c r="G23" s="28" t="str">
        <f t="shared" si="1"/>
        <v/>
      </c>
      <c r="H23" s="12" t="str">
        <f t="shared" si="2"/>
        <v/>
      </c>
      <c r="J23" s="155"/>
      <c r="K23" s="30" t="e">
        <f>2/E3/E7</f>
        <v>#DIV/0!</v>
      </c>
      <c r="L23" s="30">
        <f>L20</f>
        <v>5.51</v>
      </c>
      <c r="M23" s="31" t="e">
        <f>K23/L23</f>
        <v>#DIV/0!</v>
      </c>
      <c r="O23" s="127" t="s">
        <v>22</v>
      </c>
      <c r="P23" s="128"/>
      <c r="Q23" s="5" t="s">
        <v>30</v>
      </c>
      <c r="R23" s="32">
        <f>E7*1000</f>
        <v>0</v>
      </c>
      <c r="S23" s="5" t="s">
        <v>35</v>
      </c>
      <c r="T23" s="100" t="s">
        <v>147</v>
      </c>
      <c r="U23" s="106"/>
    </row>
    <row r="24" spans="2:21" ht="15.75" customHeight="1" x14ac:dyDescent="0.25">
      <c r="B24" s="26">
        <v>4</v>
      </c>
      <c r="C24" s="21"/>
      <c r="D24" s="22">
        <v>1</v>
      </c>
      <c r="E24" s="22"/>
      <c r="F24" s="28" t="str">
        <f t="shared" si="0"/>
        <v/>
      </c>
      <c r="G24" s="28" t="str">
        <f t="shared" si="1"/>
        <v/>
      </c>
      <c r="H24" s="12" t="str">
        <f t="shared" si="2"/>
        <v/>
      </c>
      <c r="J24" s="155"/>
      <c r="K24" s="16"/>
      <c r="L24" s="30">
        <f>L21</f>
        <v>9.6389999999999993</v>
      </c>
      <c r="M24" s="31" t="e">
        <f>M21</f>
        <v>#DIV/0!</v>
      </c>
      <c r="O24" s="129"/>
      <c r="P24" s="130"/>
      <c r="Q24" s="5" t="s">
        <v>31</v>
      </c>
      <c r="R24" s="33">
        <f>E10</f>
        <v>0</v>
      </c>
      <c r="S24" s="5" t="s">
        <v>35</v>
      </c>
      <c r="T24" s="100" t="s">
        <v>148</v>
      </c>
      <c r="U24" s="106"/>
    </row>
    <row r="25" spans="2:21" ht="15.75" customHeight="1" x14ac:dyDescent="0.25">
      <c r="B25" s="26">
        <v>5</v>
      </c>
      <c r="C25" s="21"/>
      <c r="D25" s="22">
        <v>1</v>
      </c>
      <c r="E25" s="22"/>
      <c r="F25" s="28" t="str">
        <f t="shared" si="0"/>
        <v/>
      </c>
      <c r="G25" s="28" t="str">
        <f t="shared" si="1"/>
        <v/>
      </c>
      <c r="H25" s="12" t="str">
        <f t="shared" si="2"/>
        <v/>
      </c>
      <c r="J25" s="155"/>
      <c r="K25" s="17" t="s">
        <v>43</v>
      </c>
      <c r="L25" s="1"/>
      <c r="M25" s="13"/>
      <c r="O25" s="131"/>
      <c r="P25" s="132"/>
      <c r="Q25" s="5" t="s">
        <v>32</v>
      </c>
      <c r="R25" s="33">
        <f>E10-R23</f>
        <v>0</v>
      </c>
      <c r="S25" s="5" t="s">
        <v>35</v>
      </c>
      <c r="T25" s="100" t="s">
        <v>149</v>
      </c>
      <c r="U25" s="106"/>
    </row>
    <row r="26" spans="2:21" ht="15.75" customHeight="1" x14ac:dyDescent="0.25">
      <c r="B26" s="26">
        <v>6</v>
      </c>
      <c r="C26" s="21"/>
      <c r="D26" s="22">
        <v>1</v>
      </c>
      <c r="E26" s="22"/>
      <c r="F26" s="28" t="str">
        <f t="shared" si="0"/>
        <v/>
      </c>
      <c r="G26" s="28" t="str">
        <f t="shared" si="1"/>
        <v/>
      </c>
      <c r="H26" s="12" t="str">
        <f t="shared" si="2"/>
        <v/>
      </c>
      <c r="J26" s="155"/>
      <c r="K26" s="30" t="e">
        <f>3/E3/E7</f>
        <v>#DIV/0!</v>
      </c>
      <c r="L26" s="30">
        <f>L20</f>
        <v>5.51</v>
      </c>
      <c r="M26" s="31" t="e">
        <f>K26/L26</f>
        <v>#DIV/0!</v>
      </c>
      <c r="O26" s="125" t="s">
        <v>23</v>
      </c>
      <c r="P26" s="126"/>
      <c r="Q26" s="5" t="s">
        <v>68</v>
      </c>
      <c r="R26" s="34">
        <f>ROUNDUP(F33,0)</f>
        <v>0</v>
      </c>
      <c r="S26" s="5" t="s">
        <v>36</v>
      </c>
      <c r="T26" s="100" t="s">
        <v>150</v>
      </c>
      <c r="U26" s="106"/>
    </row>
    <row r="27" spans="2:21" ht="15.75" customHeight="1" x14ac:dyDescent="0.25">
      <c r="B27" s="26">
        <v>7</v>
      </c>
      <c r="C27" s="21"/>
      <c r="D27" s="22">
        <v>1</v>
      </c>
      <c r="E27" s="22"/>
      <c r="F27" s="28" t="str">
        <f t="shared" si="0"/>
        <v/>
      </c>
      <c r="G27" s="28" t="str">
        <f t="shared" si="1"/>
        <v/>
      </c>
      <c r="H27" s="12" t="str">
        <f t="shared" si="2"/>
        <v/>
      </c>
      <c r="J27" s="155"/>
      <c r="K27" s="16"/>
      <c r="L27" s="30">
        <f>L21</f>
        <v>9.6389999999999993</v>
      </c>
      <c r="M27" s="31" t="e">
        <f>M21</f>
        <v>#DIV/0!</v>
      </c>
      <c r="O27" s="125" t="s">
        <v>24</v>
      </c>
      <c r="P27" s="126"/>
      <c r="Q27" s="5" t="s">
        <v>68</v>
      </c>
      <c r="R27" s="34">
        <f>ROUNDUP(F36,0)</f>
        <v>0</v>
      </c>
      <c r="S27" s="5" t="s">
        <v>37</v>
      </c>
      <c r="T27" s="100" t="s">
        <v>151</v>
      </c>
      <c r="U27" s="106"/>
    </row>
    <row r="28" spans="2:21" ht="15.75" customHeight="1" x14ac:dyDescent="0.25">
      <c r="B28" s="26">
        <v>8</v>
      </c>
      <c r="C28" s="21"/>
      <c r="D28" s="22">
        <v>1</v>
      </c>
      <c r="E28" s="22"/>
      <c r="F28" s="28" t="str">
        <f t="shared" si="0"/>
        <v/>
      </c>
      <c r="G28" s="28" t="str">
        <f t="shared" si="1"/>
        <v/>
      </c>
      <c r="H28" s="12" t="str">
        <f t="shared" si="2"/>
        <v/>
      </c>
      <c r="J28" s="155"/>
      <c r="K28" s="17" t="s">
        <v>44</v>
      </c>
      <c r="L28" s="1"/>
      <c r="M28" s="13"/>
      <c r="O28" s="125" t="s">
        <v>26</v>
      </c>
      <c r="P28" s="126"/>
      <c r="Q28" s="5" t="s">
        <v>68</v>
      </c>
      <c r="R28" s="24"/>
      <c r="S28" s="5" t="s">
        <v>38</v>
      </c>
    </row>
    <row r="29" spans="2:21" ht="15.75" customHeight="1" x14ac:dyDescent="0.25">
      <c r="B29" s="26">
        <v>9</v>
      </c>
      <c r="C29" s="21"/>
      <c r="D29" s="22">
        <v>1</v>
      </c>
      <c r="E29" s="22"/>
      <c r="F29" s="28" t="str">
        <f t="shared" si="0"/>
        <v/>
      </c>
      <c r="G29" s="28" t="str">
        <f t="shared" si="1"/>
        <v/>
      </c>
      <c r="H29" s="12" t="str">
        <f t="shared" si="2"/>
        <v/>
      </c>
      <c r="J29" s="155"/>
      <c r="K29" s="30" t="e">
        <f>4/E3/E7</f>
        <v>#DIV/0!</v>
      </c>
      <c r="L29" s="30">
        <f>L20</f>
        <v>5.51</v>
      </c>
      <c r="M29" s="31" t="e">
        <f>K29/L29</f>
        <v>#DIV/0!</v>
      </c>
      <c r="O29" s="127"/>
      <c r="P29" s="128"/>
      <c r="Q29" s="120" t="s">
        <v>45</v>
      </c>
      <c r="R29" s="121"/>
      <c r="S29" s="122"/>
      <c r="T29" s="103" t="s">
        <v>153</v>
      </c>
      <c r="U29" s="107">
        <f>SUM(LEFT(T23,1)*U23,LEFT(T24,1)*U24,LEFT(T25,1)*U25,LEFT(T26,1)*U26,LEFT(T27,1)*U27)</f>
        <v>0</v>
      </c>
    </row>
    <row r="30" spans="2:21" ht="15.75" customHeight="1" x14ac:dyDescent="0.25">
      <c r="F30" s="28">
        <f>SUM(F21:F29)</f>
        <v>0</v>
      </c>
      <c r="G30" s="7" t="s">
        <v>57</v>
      </c>
      <c r="H30" s="12">
        <f>SUMPRODUCT(C21:C29,H21:H29)</f>
        <v>0</v>
      </c>
      <c r="J30" s="155"/>
      <c r="K30" s="16"/>
      <c r="L30" s="30">
        <f>L21</f>
        <v>9.6389999999999993</v>
      </c>
      <c r="M30" s="31" t="e">
        <f>M21</f>
        <v>#DIV/0!</v>
      </c>
      <c r="O30" s="129"/>
      <c r="P30" s="130"/>
      <c r="Q30" s="120" t="s">
        <v>39</v>
      </c>
      <c r="R30" s="121"/>
      <c r="S30" s="122"/>
      <c r="T30" s="105" t="s">
        <v>154</v>
      </c>
      <c r="U30" s="83">
        <f>I39-U29</f>
        <v>0</v>
      </c>
    </row>
    <row r="31" spans="2:21" ht="15.75" customHeight="1" x14ac:dyDescent="0.25">
      <c r="B31" s="123"/>
      <c r="C31" s="123"/>
      <c r="D31" s="123"/>
      <c r="E31" s="7"/>
      <c r="F31" s="10"/>
      <c r="J31" s="156"/>
      <c r="K31" s="18"/>
      <c r="L31" s="10"/>
      <c r="M31" s="14"/>
      <c r="O31" s="131"/>
      <c r="P31" s="132"/>
      <c r="Q31" s="120" t="s">
        <v>46</v>
      </c>
      <c r="R31" s="121"/>
      <c r="S31" s="122"/>
    </row>
    <row r="32" spans="2:21" ht="15.75" customHeight="1" x14ac:dyDescent="0.35">
      <c r="B32" s="123" t="s">
        <v>142</v>
      </c>
      <c r="C32" s="123"/>
      <c r="D32" s="123"/>
      <c r="E32" s="123"/>
      <c r="F32" s="29">
        <f>SUM(F17)</f>
        <v>0</v>
      </c>
      <c r="G32" s="2" t="s">
        <v>4</v>
      </c>
    </row>
    <row r="33" spans="2:21" ht="15.75" customHeight="1" x14ac:dyDescent="0.35">
      <c r="B33" s="123" t="s">
        <v>6</v>
      </c>
      <c r="C33" s="123"/>
      <c r="D33" s="123"/>
      <c r="E33" s="123"/>
      <c r="F33" s="29">
        <f>F30</f>
        <v>0</v>
      </c>
      <c r="G33" s="2" t="s">
        <v>4</v>
      </c>
    </row>
    <row r="34" spans="2:21" ht="15.75" customHeight="1" x14ac:dyDescent="0.25">
      <c r="B34" s="133" t="s">
        <v>48</v>
      </c>
      <c r="C34" s="133"/>
      <c r="D34" s="133"/>
      <c r="E34" s="133"/>
      <c r="F34" s="133"/>
    </row>
    <row r="35" spans="2:21" ht="15.75" customHeight="1" x14ac:dyDescent="0.35">
      <c r="B35" s="123" t="s">
        <v>143</v>
      </c>
      <c r="C35" s="123"/>
      <c r="D35" s="123"/>
      <c r="E35" s="124"/>
      <c r="F35" s="29">
        <f>PRODUCT(F32,E6)</f>
        <v>0</v>
      </c>
      <c r="G35" s="2" t="s">
        <v>12</v>
      </c>
    </row>
    <row r="36" spans="2:21" ht="15.75" customHeight="1" x14ac:dyDescent="0.4">
      <c r="B36" s="123" t="s">
        <v>14</v>
      </c>
      <c r="C36" s="123"/>
      <c r="D36" s="123"/>
      <c r="E36" s="123"/>
      <c r="F36" s="29">
        <f>PRODUCT(F33,E7)</f>
        <v>0</v>
      </c>
      <c r="G36" s="2" t="s">
        <v>12</v>
      </c>
      <c r="J36" s="142" t="s">
        <v>61</v>
      </c>
      <c r="K36" s="45" t="s">
        <v>41</v>
      </c>
      <c r="L36" s="46"/>
      <c r="M36" s="47"/>
      <c r="O36" s="118" t="s">
        <v>18</v>
      </c>
      <c r="P36" s="119"/>
      <c r="Q36" s="118" t="s">
        <v>65</v>
      </c>
      <c r="R36" s="141"/>
      <c r="S36" s="119"/>
    </row>
    <row r="37" spans="2:21" ht="15.75" customHeight="1" x14ac:dyDescent="0.25">
      <c r="B37" s="133" t="s">
        <v>49</v>
      </c>
      <c r="C37" s="133"/>
      <c r="D37" s="133"/>
      <c r="E37" s="133"/>
      <c r="F37" s="133"/>
      <c r="J37" s="143"/>
      <c r="K37" s="30" t="e">
        <f>1/E3/E8</f>
        <v>#DIV/0!</v>
      </c>
      <c r="L37" s="23">
        <v>5.51</v>
      </c>
      <c r="M37" s="31" t="e">
        <f>K37/L37</f>
        <v>#DIV/0!</v>
      </c>
      <c r="O37" s="118" t="s">
        <v>20</v>
      </c>
      <c r="P37" s="119"/>
      <c r="Q37" s="5" t="s">
        <v>27</v>
      </c>
      <c r="R37" s="35">
        <f>R21</f>
        <v>200</v>
      </c>
      <c r="S37" s="5" t="s">
        <v>29</v>
      </c>
    </row>
    <row r="38" spans="2:21" ht="15.75" customHeight="1" x14ac:dyDescent="0.35">
      <c r="B38" s="123" t="s">
        <v>144</v>
      </c>
      <c r="C38" s="123"/>
      <c r="D38" s="123"/>
      <c r="E38" s="123"/>
      <c r="F38" s="29">
        <f>PRODUCT(F35,E2)</f>
        <v>0</v>
      </c>
      <c r="G38" s="1" t="s">
        <v>13</v>
      </c>
      <c r="H38" s="3" t="s">
        <v>17</v>
      </c>
      <c r="I38" s="15">
        <f>ROUNDUP(F38+F38*2%,0)</f>
        <v>0</v>
      </c>
      <c r="J38" s="143"/>
      <c r="K38" s="16"/>
      <c r="L38" s="23">
        <v>9.6389999999999993</v>
      </c>
      <c r="M38" s="31" t="e">
        <f>L38/K37</f>
        <v>#DIV/0!</v>
      </c>
      <c r="O38" s="118" t="s">
        <v>21</v>
      </c>
      <c r="P38" s="119"/>
      <c r="Q38" s="5" t="s">
        <v>28</v>
      </c>
      <c r="R38" s="35">
        <f>R22</f>
        <v>0</v>
      </c>
      <c r="S38" s="5"/>
    </row>
    <row r="39" spans="2:21" ht="15.75" customHeight="1" x14ac:dyDescent="0.35">
      <c r="B39" s="123" t="s">
        <v>15</v>
      </c>
      <c r="C39" s="123"/>
      <c r="D39" s="123"/>
      <c r="E39" s="123"/>
      <c r="F39" s="29">
        <f>PRODUCT(F36,E3)</f>
        <v>0</v>
      </c>
      <c r="G39" s="1" t="s">
        <v>13</v>
      </c>
      <c r="H39" s="3" t="s">
        <v>17</v>
      </c>
      <c r="I39" s="15">
        <f>ROUNDUP(F39+F39*2%,0)</f>
        <v>0</v>
      </c>
      <c r="J39" s="143"/>
      <c r="K39" s="17" t="s">
        <v>42</v>
      </c>
      <c r="L39" s="1"/>
      <c r="M39" s="13"/>
      <c r="O39" s="118" t="s">
        <v>25</v>
      </c>
      <c r="P39" s="119"/>
      <c r="Q39" s="5"/>
      <c r="R39" s="36" t="s">
        <v>66</v>
      </c>
      <c r="S39" s="5" t="s">
        <v>34</v>
      </c>
      <c r="T39" s="101" t="s">
        <v>152</v>
      </c>
    </row>
    <row r="40" spans="2:21" ht="15.75" x14ac:dyDescent="0.25">
      <c r="J40" s="143"/>
      <c r="K40" s="30" t="e">
        <f>2/E3/E8</f>
        <v>#DIV/0!</v>
      </c>
      <c r="L40" s="30">
        <f>L37</f>
        <v>5.51</v>
      </c>
      <c r="M40" s="31" t="e">
        <f>K40/L40</f>
        <v>#DIV/0!</v>
      </c>
      <c r="O40" s="135" t="s">
        <v>22</v>
      </c>
      <c r="P40" s="136"/>
      <c r="Q40" s="5"/>
      <c r="R40" s="35" t="s">
        <v>66</v>
      </c>
      <c r="S40" s="5" t="s">
        <v>35</v>
      </c>
      <c r="T40" s="100" t="s">
        <v>147</v>
      </c>
      <c r="U40" s="106"/>
    </row>
    <row r="41" spans="2:21" ht="15.75" x14ac:dyDescent="0.25">
      <c r="B41" s="133" t="s">
        <v>51</v>
      </c>
      <c r="C41" s="133"/>
      <c r="D41" s="133"/>
      <c r="E41" s="133"/>
      <c r="F41" s="133"/>
      <c r="J41" s="143"/>
      <c r="K41" s="16"/>
      <c r="L41" s="30">
        <f>L38</f>
        <v>9.6389999999999993</v>
      </c>
      <c r="M41" s="31" t="e">
        <f>M38</f>
        <v>#DIV/0!</v>
      </c>
      <c r="O41" s="137"/>
      <c r="P41" s="138"/>
      <c r="Q41" s="5" t="s">
        <v>31</v>
      </c>
      <c r="R41" s="37" t="s">
        <v>66</v>
      </c>
      <c r="S41" s="5" t="s">
        <v>35</v>
      </c>
      <c r="T41" s="100" t="s">
        <v>148</v>
      </c>
      <c r="U41" s="106"/>
    </row>
    <row r="42" spans="2:21" ht="18.75" x14ac:dyDescent="0.25">
      <c r="B42" s="134" t="s">
        <v>50</v>
      </c>
      <c r="C42" s="134"/>
      <c r="D42" s="134"/>
      <c r="E42" s="134"/>
      <c r="F42" s="134"/>
      <c r="J42" s="143"/>
      <c r="K42" s="17" t="s">
        <v>43</v>
      </c>
      <c r="L42" s="1"/>
      <c r="M42" s="13"/>
      <c r="O42" s="139"/>
      <c r="P42" s="140"/>
      <c r="Q42" s="5" t="s">
        <v>32</v>
      </c>
      <c r="R42" s="37" t="s">
        <v>66</v>
      </c>
      <c r="S42" s="5" t="s">
        <v>35</v>
      </c>
      <c r="T42" s="100" t="s">
        <v>149</v>
      </c>
      <c r="U42" s="106"/>
    </row>
    <row r="43" spans="2:21" ht="15.75" x14ac:dyDescent="0.25">
      <c r="B43" s="26" t="s">
        <v>7</v>
      </c>
      <c r="C43" s="26" t="s">
        <v>8</v>
      </c>
      <c r="D43" s="26" t="s">
        <v>9</v>
      </c>
      <c r="E43" s="26" t="s">
        <v>10</v>
      </c>
      <c r="F43" s="27" t="s">
        <v>11</v>
      </c>
      <c r="J43" s="143"/>
      <c r="K43" s="30" t="e">
        <f>3/E3/E8</f>
        <v>#DIV/0!</v>
      </c>
      <c r="L43" s="30">
        <f>L37</f>
        <v>5.51</v>
      </c>
      <c r="M43" s="31" t="e">
        <f>K43/L43</f>
        <v>#DIV/0!</v>
      </c>
      <c r="O43" s="118" t="s">
        <v>23</v>
      </c>
      <c r="P43" s="119"/>
      <c r="Q43" s="5"/>
      <c r="R43" s="38">
        <f>ROUNDUP(F47,0)</f>
        <v>0</v>
      </c>
      <c r="S43" s="5" t="s">
        <v>36</v>
      </c>
      <c r="T43" s="100" t="s">
        <v>150</v>
      </c>
      <c r="U43" s="106"/>
    </row>
    <row r="44" spans="2:21" ht="15.75" x14ac:dyDescent="0.25">
      <c r="B44" s="26">
        <v>1</v>
      </c>
      <c r="C44" s="21"/>
      <c r="D44" s="22"/>
      <c r="E44" s="22"/>
      <c r="F44" s="28" t="str">
        <f t="shared" ref="F44:F45" si="3">IF(C44="","",C44*D44*E44)</f>
        <v/>
      </c>
      <c r="J44" s="143"/>
      <c r="K44" s="16"/>
      <c r="L44" s="30">
        <f>L38</f>
        <v>9.6389999999999993</v>
      </c>
      <c r="M44" s="31" t="e">
        <f>M38</f>
        <v>#DIV/0!</v>
      </c>
      <c r="O44" s="118" t="s">
        <v>24</v>
      </c>
      <c r="P44" s="119"/>
      <c r="Q44" s="5"/>
      <c r="R44" s="38">
        <f>ROUNDUP(F48,0)</f>
        <v>0</v>
      </c>
      <c r="S44" s="5" t="s">
        <v>37</v>
      </c>
      <c r="T44" s="100" t="s">
        <v>151</v>
      </c>
      <c r="U44" s="106"/>
    </row>
    <row r="45" spans="2:21" ht="18.75" x14ac:dyDescent="0.25">
      <c r="B45" s="26">
        <v>2</v>
      </c>
      <c r="C45" s="21"/>
      <c r="D45" s="22"/>
      <c r="E45" s="22"/>
      <c r="F45" s="28" t="str">
        <f t="shared" si="3"/>
        <v/>
      </c>
      <c r="J45" s="143"/>
      <c r="K45" s="17" t="s">
        <v>44</v>
      </c>
      <c r="L45" s="1"/>
      <c r="M45" s="13"/>
      <c r="O45" s="118" t="s">
        <v>26</v>
      </c>
      <c r="P45" s="119"/>
      <c r="Q45" s="5"/>
      <c r="R45" s="25"/>
      <c r="S45" s="5" t="s">
        <v>38</v>
      </c>
    </row>
    <row r="46" spans="2:21" ht="15.75" x14ac:dyDescent="0.25">
      <c r="F46" s="28">
        <f>SUM(F44:F45)</f>
        <v>0</v>
      </c>
      <c r="J46" s="143"/>
      <c r="K46" s="30" t="e">
        <f>4/E3/E8</f>
        <v>#DIV/0!</v>
      </c>
      <c r="L46" s="30">
        <f>L37</f>
        <v>5.51</v>
      </c>
      <c r="M46" s="31" t="e">
        <f>K46/L46</f>
        <v>#DIV/0!</v>
      </c>
      <c r="O46" s="135"/>
      <c r="P46" s="136"/>
      <c r="Q46" s="120"/>
      <c r="R46" s="121"/>
      <c r="S46" s="122"/>
      <c r="T46" s="103" t="s">
        <v>153</v>
      </c>
      <c r="U46" s="107">
        <f>SUM(LEFT(T40,1)*U40,LEFT(T41,1)*U41,LEFT(T42,1)*U42,LEFT(T43,1)*U43,LEFT(T44,1)*U44)</f>
        <v>0</v>
      </c>
    </row>
    <row r="47" spans="2:21" ht="18" x14ac:dyDescent="0.25">
      <c r="B47" s="123" t="s">
        <v>58</v>
      </c>
      <c r="C47" s="123"/>
      <c r="D47" s="123"/>
      <c r="E47" s="123"/>
      <c r="F47" s="29">
        <f>F46</f>
        <v>0</v>
      </c>
      <c r="G47" s="2" t="s">
        <v>4</v>
      </c>
      <c r="J47" s="143"/>
      <c r="K47" s="16"/>
      <c r="L47" s="30">
        <f>L38</f>
        <v>9.6389999999999993</v>
      </c>
      <c r="M47" s="31" t="e">
        <f>M38</f>
        <v>#DIV/0!</v>
      </c>
      <c r="O47" s="137"/>
      <c r="P47" s="138"/>
      <c r="Q47" s="120"/>
      <c r="R47" s="121"/>
      <c r="S47" s="122"/>
      <c r="T47" s="105" t="s">
        <v>154</v>
      </c>
      <c r="U47" s="83">
        <f>I49-U46</f>
        <v>0</v>
      </c>
    </row>
    <row r="48" spans="2:21" ht="18" x14ac:dyDescent="0.25">
      <c r="B48" s="123" t="s">
        <v>59</v>
      </c>
      <c r="C48" s="123"/>
      <c r="D48" s="123"/>
      <c r="E48" s="123"/>
      <c r="F48" s="29">
        <f>PRODUCT(F47,E8)</f>
        <v>0</v>
      </c>
      <c r="G48" s="2" t="s">
        <v>12</v>
      </c>
      <c r="H48" s="3"/>
      <c r="J48" s="144"/>
      <c r="K48" s="18"/>
      <c r="L48" s="10"/>
      <c r="M48" s="14"/>
      <c r="O48" s="139"/>
      <c r="P48" s="140"/>
      <c r="Q48" s="120"/>
      <c r="R48" s="121"/>
      <c r="S48" s="122"/>
    </row>
    <row r="49" spans="2:21" ht="15.75" x14ac:dyDescent="0.25">
      <c r="B49" s="123" t="s">
        <v>60</v>
      </c>
      <c r="C49" s="123"/>
      <c r="D49" s="123"/>
      <c r="E49" s="123"/>
      <c r="F49" s="29">
        <f>F48*E3</f>
        <v>0</v>
      </c>
      <c r="G49" s="1" t="s">
        <v>13</v>
      </c>
      <c r="H49" s="3" t="s">
        <v>17</v>
      </c>
      <c r="I49" s="6">
        <f>ROUNDUP(F49+F49*2%,0)</f>
        <v>0</v>
      </c>
    </row>
    <row r="50" spans="2:21" ht="16.5" x14ac:dyDescent="0.25">
      <c r="S50" s="109" t="s">
        <v>155</v>
      </c>
      <c r="U50" s="108">
        <f>U14+U30+U47</f>
        <v>0</v>
      </c>
    </row>
  </sheetData>
  <mergeCells count="65">
    <mergeCell ref="B2:D2"/>
    <mergeCell ref="O4:P4"/>
    <mergeCell ref="B3:D3"/>
    <mergeCell ref="J3:J15"/>
    <mergeCell ref="Q13:S13"/>
    <mergeCell ref="Q14:S14"/>
    <mergeCell ref="Q15:S15"/>
    <mergeCell ref="B5:F5"/>
    <mergeCell ref="O6:P6"/>
    <mergeCell ref="B6:D6"/>
    <mergeCell ref="O7:P9"/>
    <mergeCell ref="B7:D7"/>
    <mergeCell ref="O19:P19"/>
    <mergeCell ref="O5:P5"/>
    <mergeCell ref="J19:J31"/>
    <mergeCell ref="O3:P3"/>
    <mergeCell ref="Q3:S3"/>
    <mergeCell ref="Q47:S47"/>
    <mergeCell ref="O10:P10"/>
    <mergeCell ref="O11:P11"/>
    <mergeCell ref="B8:D8"/>
    <mergeCell ref="Q29:S29"/>
    <mergeCell ref="B12:F12"/>
    <mergeCell ref="O12:P12"/>
    <mergeCell ref="B13:F13"/>
    <mergeCell ref="O13:P15"/>
    <mergeCell ref="Q19:S19"/>
    <mergeCell ref="O20:P20"/>
    <mergeCell ref="O21:P21"/>
    <mergeCell ref="O22:P22"/>
    <mergeCell ref="O23:P25"/>
    <mergeCell ref="O27:P27"/>
    <mergeCell ref="B19:F19"/>
    <mergeCell ref="O44:P44"/>
    <mergeCell ref="O26:P26"/>
    <mergeCell ref="B37:F37"/>
    <mergeCell ref="Q30:S30"/>
    <mergeCell ref="B38:E38"/>
    <mergeCell ref="Q31:S31"/>
    <mergeCell ref="O36:P36"/>
    <mergeCell ref="Q36:S36"/>
    <mergeCell ref="O37:P37"/>
    <mergeCell ref="O38:P38"/>
    <mergeCell ref="B34:F34"/>
    <mergeCell ref="B31:D31"/>
    <mergeCell ref="B32:E32"/>
    <mergeCell ref="B33:E33"/>
    <mergeCell ref="J36:J48"/>
    <mergeCell ref="Q46:S46"/>
    <mergeCell ref="O45:P45"/>
    <mergeCell ref="Q48:S48"/>
    <mergeCell ref="B49:E49"/>
    <mergeCell ref="B35:E35"/>
    <mergeCell ref="O28:P28"/>
    <mergeCell ref="B36:E36"/>
    <mergeCell ref="O29:P31"/>
    <mergeCell ref="B39:E39"/>
    <mergeCell ref="B41:F41"/>
    <mergeCell ref="B42:F42"/>
    <mergeCell ref="B47:E47"/>
    <mergeCell ref="B48:E48"/>
    <mergeCell ref="O46:P48"/>
    <mergeCell ref="O39:P39"/>
    <mergeCell ref="O40:P42"/>
    <mergeCell ref="O43:P43"/>
  </mergeCells>
  <phoneticPr fontId="9"/>
  <conditionalFormatting sqref="J3:U15 B32:G32 B35:G35 B38:I38">
    <cfRule type="expression" dxfId="25" priority="3">
      <formula>IF($E$6="",TRUE)</formula>
    </cfRule>
  </conditionalFormatting>
  <conditionalFormatting sqref="J19:U31 B33:G33 B36:G36 B39:I39">
    <cfRule type="expression" dxfId="24" priority="2">
      <formula>IF($E$7="",TRUE)</formula>
    </cfRule>
  </conditionalFormatting>
  <conditionalFormatting sqref="J36:U48 B41:I49">
    <cfRule type="expression" dxfId="23" priority="1">
      <formula>IF($E$8="",TRUE)</formula>
    </cfRule>
  </conditionalFormatting>
  <pageMargins left="0.7" right="0.7" top="0.75" bottom="0.75" header="0.3" footer="0.3"/>
  <pageSetup paperSize="9" scale="42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0000000}">
          <x14:formula1>
            <xm:f>データ!$A$18:$A$22</xm:f>
          </x14:formula1>
          <xm:sqref>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4F06-C3B8-440A-ACB4-87B382D687CD}">
  <sheetPr>
    <tabColor theme="9" tint="0.59999389629810485"/>
  </sheetPr>
  <dimension ref="B1:U50"/>
  <sheetViews>
    <sheetView tabSelected="1" view="pageBreakPreview" zoomScale="85" zoomScaleNormal="70" zoomScaleSheetLayoutView="85" workbookViewId="0">
      <selection activeCell="G14" sqref="G14"/>
    </sheetView>
  </sheetViews>
  <sheetFormatPr defaultRowHeight="13.5" x14ac:dyDescent="0.15"/>
  <cols>
    <col min="1" max="1" width="6.375" customWidth="1"/>
    <col min="2" max="2" width="10.375" customWidth="1"/>
    <col min="3" max="3" width="11.625" customWidth="1"/>
    <col min="4" max="4" width="11.75" customWidth="1"/>
    <col min="5" max="5" width="11.25" customWidth="1"/>
    <col min="6" max="6" width="11.75" customWidth="1"/>
    <col min="7" max="7" width="7.875" customWidth="1"/>
    <col min="8" max="8" width="6.75" customWidth="1"/>
    <col min="9" max="9" width="9" customWidth="1"/>
    <col min="10" max="10" width="11.625" customWidth="1"/>
    <col min="11" max="11" width="11.375" bestFit="1" customWidth="1"/>
    <col min="12" max="13" width="10" customWidth="1"/>
    <col min="14" max="14" width="6.375" customWidth="1"/>
    <col min="17" max="17" width="13" customWidth="1"/>
    <col min="18" max="18" width="10.75" customWidth="1"/>
    <col min="19" max="19" width="12.375" customWidth="1"/>
    <col min="20" max="20" width="6.375" customWidth="1"/>
    <col min="21" max="21" width="6" customWidth="1"/>
  </cols>
  <sheetData>
    <row r="1" spans="2:21" ht="15.75" x14ac:dyDescent="0.25">
      <c r="B1" s="8" t="s">
        <v>0</v>
      </c>
      <c r="C1" s="1"/>
      <c r="D1" s="1"/>
      <c r="E1" s="1"/>
      <c r="F1" s="1"/>
    </row>
    <row r="2" spans="2:21" ht="15.75" customHeight="1" x14ac:dyDescent="0.25">
      <c r="B2" s="123" t="s">
        <v>69</v>
      </c>
      <c r="C2" s="123"/>
      <c r="D2" s="123"/>
      <c r="E2" s="19"/>
      <c r="F2" s="1" t="s">
        <v>1</v>
      </c>
    </row>
    <row r="3" spans="2:21" ht="15.75" customHeight="1" x14ac:dyDescent="0.25">
      <c r="B3" s="123" t="s">
        <v>53</v>
      </c>
      <c r="C3" s="123"/>
      <c r="D3" s="123"/>
      <c r="E3" s="19"/>
      <c r="F3" s="1" t="s">
        <v>1</v>
      </c>
      <c r="G3" s="160" t="s">
        <v>159</v>
      </c>
      <c r="H3" s="161"/>
      <c r="I3" s="162"/>
      <c r="J3" s="159" t="s">
        <v>70</v>
      </c>
      <c r="K3" s="40" t="s">
        <v>41</v>
      </c>
      <c r="L3" s="39"/>
      <c r="M3" s="41"/>
      <c r="O3" s="157" t="s">
        <v>18</v>
      </c>
      <c r="P3" s="157"/>
      <c r="Q3" s="145" t="s">
        <v>19</v>
      </c>
      <c r="R3" s="158"/>
      <c r="S3" s="146"/>
    </row>
    <row r="4" spans="2:21" ht="15.75" customHeight="1" x14ac:dyDescent="0.25">
      <c r="G4" s="113">
        <v>20</v>
      </c>
      <c r="H4" s="114" t="e">
        <f>H5*K4</f>
        <v>#DIV/0!</v>
      </c>
      <c r="I4" s="115">
        <v>5</v>
      </c>
      <c r="J4" s="159"/>
      <c r="K4" s="30" t="e">
        <f>1/E2/E6</f>
        <v>#DIV/0!</v>
      </c>
      <c r="L4" s="23">
        <v>3.14</v>
      </c>
      <c r="M4" s="31" t="e">
        <f>K4/L4</f>
        <v>#DIV/0!</v>
      </c>
      <c r="O4" s="145" t="s">
        <v>20</v>
      </c>
      <c r="P4" s="146"/>
      <c r="Q4" s="5" t="s">
        <v>27</v>
      </c>
      <c r="R4" s="24">
        <v>80</v>
      </c>
      <c r="S4" s="5" t="s">
        <v>29</v>
      </c>
    </row>
    <row r="5" spans="2:21" ht="15.75" customHeight="1" x14ac:dyDescent="0.25">
      <c r="B5" s="133" t="s">
        <v>2</v>
      </c>
      <c r="C5" s="133"/>
      <c r="D5" s="133"/>
      <c r="E5" s="133"/>
      <c r="F5" s="133"/>
      <c r="G5" s="117" t="e">
        <f>IF(G4&gt;H4, ROUNDUP(((G4-H4)/I4)*1000, -1), ROUNDDOWN(ABS((G4-H4)/I4)*1000, -1))</f>
        <v>#DIV/0!</v>
      </c>
      <c r="H5" s="115">
        <v>4</v>
      </c>
      <c r="I5" s="116" t="e">
        <f>H4/I4</f>
        <v>#DIV/0!</v>
      </c>
      <c r="J5" s="159"/>
      <c r="K5" s="16"/>
      <c r="L5" s="23">
        <v>103.456</v>
      </c>
      <c r="M5" s="31" t="e">
        <f>L5/K4</f>
        <v>#DIV/0!</v>
      </c>
      <c r="O5" s="145" t="s">
        <v>21</v>
      </c>
      <c r="P5" s="146"/>
      <c r="Q5" s="5" t="s">
        <v>28</v>
      </c>
      <c r="R5" s="24">
        <v>200</v>
      </c>
      <c r="S5" s="5"/>
    </row>
    <row r="6" spans="2:21" ht="15.75" customHeight="1" x14ac:dyDescent="0.25">
      <c r="B6" s="123" t="s">
        <v>72</v>
      </c>
      <c r="C6" s="123"/>
      <c r="D6" s="123"/>
      <c r="E6" s="19"/>
      <c r="F6" s="1" t="s">
        <v>3</v>
      </c>
      <c r="J6" s="159"/>
      <c r="K6" s="17" t="s">
        <v>42</v>
      </c>
      <c r="L6" s="1"/>
      <c r="M6" s="13"/>
      <c r="O6" s="145" t="s">
        <v>25</v>
      </c>
      <c r="P6" s="146"/>
      <c r="Q6" s="5" t="s">
        <v>71</v>
      </c>
      <c r="R6" s="32">
        <f>E2*1000</f>
        <v>0</v>
      </c>
      <c r="S6" s="5" t="s">
        <v>34</v>
      </c>
      <c r="T6" s="101" t="s">
        <v>152</v>
      </c>
    </row>
    <row r="7" spans="2:21" ht="15.75" customHeight="1" x14ac:dyDescent="0.25">
      <c r="B7" s="123" t="s">
        <v>63</v>
      </c>
      <c r="C7" s="123"/>
      <c r="D7" s="123"/>
      <c r="E7" s="19"/>
      <c r="F7" s="1" t="s">
        <v>3</v>
      </c>
      <c r="J7" s="159"/>
      <c r="K7" s="30" t="e">
        <f>2/E2/E6</f>
        <v>#DIV/0!</v>
      </c>
      <c r="L7" s="30">
        <f>L4</f>
        <v>3.14</v>
      </c>
      <c r="M7" s="31" t="e">
        <f>K7/L7</f>
        <v>#DIV/0!</v>
      </c>
      <c r="O7" s="147" t="s">
        <v>22</v>
      </c>
      <c r="P7" s="148"/>
      <c r="Q7" s="5" t="s">
        <v>30</v>
      </c>
      <c r="R7" s="32">
        <f>E6*1000</f>
        <v>0</v>
      </c>
      <c r="S7" s="5" t="s">
        <v>35</v>
      </c>
      <c r="T7" s="100" t="s">
        <v>147</v>
      </c>
      <c r="U7" s="104"/>
    </row>
    <row r="8" spans="2:21" ht="15.75" customHeight="1" x14ac:dyDescent="0.25">
      <c r="B8" s="123" t="s">
        <v>54</v>
      </c>
      <c r="C8" s="123"/>
      <c r="D8" s="123"/>
      <c r="E8" s="19"/>
      <c r="F8" s="1" t="s">
        <v>3</v>
      </c>
      <c r="J8" s="159"/>
      <c r="K8" s="16"/>
      <c r="L8" s="30">
        <f>L5</f>
        <v>103.456</v>
      </c>
      <c r="M8" s="31" t="e">
        <f>M5</f>
        <v>#DIV/0!</v>
      </c>
      <c r="O8" s="149"/>
      <c r="P8" s="150"/>
      <c r="Q8" s="5" t="s">
        <v>31</v>
      </c>
      <c r="R8" s="33">
        <f>E10-R23</f>
        <v>0</v>
      </c>
      <c r="S8" s="5" t="s">
        <v>35</v>
      </c>
      <c r="T8" s="100" t="s">
        <v>148</v>
      </c>
      <c r="U8" s="104"/>
    </row>
    <row r="9" spans="2:21" ht="15.75" customHeight="1" x14ac:dyDescent="0.25">
      <c r="B9" s="9"/>
      <c r="C9" s="9"/>
      <c r="D9" s="9"/>
      <c r="E9" s="4"/>
      <c r="F9" s="1"/>
      <c r="J9" s="159"/>
      <c r="K9" s="17" t="s">
        <v>43</v>
      </c>
      <c r="L9" s="1"/>
      <c r="M9" s="13"/>
      <c r="O9" s="151"/>
      <c r="P9" s="152"/>
      <c r="Q9" s="5" t="s">
        <v>32</v>
      </c>
      <c r="R9" s="33">
        <f>E10-R23-R7</f>
        <v>0</v>
      </c>
      <c r="S9" s="5" t="s">
        <v>35</v>
      </c>
      <c r="T9" s="100" t="s">
        <v>149</v>
      </c>
      <c r="U9" s="104"/>
    </row>
    <row r="10" spans="2:21" ht="15.75" customHeight="1" x14ac:dyDescent="0.25">
      <c r="B10" s="11" t="s">
        <v>62</v>
      </c>
      <c r="C10" s="11"/>
      <c r="D10" s="11"/>
      <c r="E10" s="20"/>
      <c r="F10" s="1" t="s">
        <v>35</v>
      </c>
      <c r="J10" s="159"/>
      <c r="K10" s="30" t="e">
        <f>3/E2/E6</f>
        <v>#DIV/0!</v>
      </c>
      <c r="L10" s="30">
        <f>L4</f>
        <v>3.14</v>
      </c>
      <c r="M10" s="31" t="e">
        <f>K10/L10</f>
        <v>#DIV/0!</v>
      </c>
      <c r="O10" s="145" t="s">
        <v>23</v>
      </c>
      <c r="P10" s="146"/>
      <c r="Q10" s="5" t="s">
        <v>33</v>
      </c>
      <c r="R10" s="33">
        <f>ROUNDUP(F25,0)</f>
        <v>0</v>
      </c>
      <c r="S10" s="5" t="s">
        <v>36</v>
      </c>
      <c r="T10" s="100" t="s">
        <v>150</v>
      </c>
      <c r="U10" s="104"/>
    </row>
    <row r="11" spans="2:21" ht="15.75" customHeight="1" x14ac:dyDescent="0.25">
      <c r="B11" s="9"/>
      <c r="C11" s="9"/>
      <c r="D11" s="9"/>
      <c r="E11" s="4"/>
      <c r="F11" s="1"/>
      <c r="J11" s="159"/>
      <c r="K11" s="16"/>
      <c r="L11" s="30">
        <f>L5</f>
        <v>103.456</v>
      </c>
      <c r="M11" s="31" t="e">
        <f>M5</f>
        <v>#DIV/0!</v>
      </c>
      <c r="O11" s="145" t="s">
        <v>24</v>
      </c>
      <c r="P11" s="146"/>
      <c r="Q11" s="5" t="s">
        <v>33</v>
      </c>
      <c r="R11" s="33">
        <f>ROUNDUP(F28,0)</f>
        <v>0</v>
      </c>
      <c r="S11" s="5" t="s">
        <v>37</v>
      </c>
      <c r="T11" s="100" t="s">
        <v>151</v>
      </c>
      <c r="U11" s="104"/>
    </row>
    <row r="12" spans="2:21" ht="15.75" customHeight="1" x14ac:dyDescent="0.25">
      <c r="B12" s="133" t="s">
        <v>16</v>
      </c>
      <c r="C12" s="133"/>
      <c r="D12" s="133"/>
      <c r="E12" s="133"/>
      <c r="F12" s="133"/>
      <c r="J12" s="159"/>
      <c r="K12" s="17" t="s">
        <v>44</v>
      </c>
      <c r="L12" s="1"/>
      <c r="M12" s="13"/>
      <c r="O12" s="145" t="s">
        <v>26</v>
      </c>
      <c r="P12" s="146"/>
      <c r="Q12" s="5" t="s">
        <v>33</v>
      </c>
      <c r="R12" s="24"/>
      <c r="S12" s="5" t="s">
        <v>38</v>
      </c>
    </row>
    <row r="13" spans="2:21" ht="15.75" customHeight="1" x14ac:dyDescent="0.25">
      <c r="B13" s="134" t="s">
        <v>145</v>
      </c>
      <c r="C13" s="134"/>
      <c r="D13" s="134"/>
      <c r="E13" s="134"/>
      <c r="F13" s="134"/>
      <c r="J13" s="159"/>
      <c r="K13" s="30" t="e">
        <f>4/E2/E6</f>
        <v>#DIV/0!</v>
      </c>
      <c r="L13" s="30">
        <f>L4</f>
        <v>3.14</v>
      </c>
      <c r="M13" s="31" t="e">
        <f>K13/L13</f>
        <v>#DIV/0!</v>
      </c>
      <c r="O13" s="147"/>
      <c r="P13" s="148"/>
      <c r="Q13" s="120" t="s">
        <v>40</v>
      </c>
      <c r="R13" s="121"/>
      <c r="S13" s="122"/>
      <c r="T13" s="103" t="s">
        <v>153</v>
      </c>
      <c r="U13" s="102">
        <f>SUM(LEFT(T7,1)*U7,LEFT(T8,1)*U8,LEFT(T9,1)*U9,LEFT(T10,1)*U10,LEFT(T11,1)*U11)</f>
        <v>0</v>
      </c>
    </row>
    <row r="14" spans="2:21" ht="15.75" customHeight="1" x14ac:dyDescent="0.25">
      <c r="B14" s="26" t="s">
        <v>7</v>
      </c>
      <c r="C14" s="26" t="s">
        <v>8</v>
      </c>
      <c r="D14" s="26" t="s">
        <v>9</v>
      </c>
      <c r="E14" s="26" t="s">
        <v>10</v>
      </c>
      <c r="F14" s="27" t="s">
        <v>11</v>
      </c>
      <c r="J14" s="159"/>
      <c r="K14" s="16"/>
      <c r="L14" s="30">
        <f>L5</f>
        <v>103.456</v>
      </c>
      <c r="M14" s="31" t="e">
        <f>M5</f>
        <v>#DIV/0!</v>
      </c>
      <c r="O14" s="149"/>
      <c r="P14" s="150"/>
      <c r="Q14" s="120" t="s">
        <v>39</v>
      </c>
      <c r="R14" s="121"/>
      <c r="S14" s="122"/>
      <c r="T14" s="105" t="s">
        <v>154</v>
      </c>
      <c r="U14">
        <f>I31-U13</f>
        <v>0</v>
      </c>
    </row>
    <row r="15" spans="2:21" ht="15.75" customHeight="1" x14ac:dyDescent="0.25">
      <c r="B15" s="26">
        <v>1</v>
      </c>
      <c r="C15" s="21">
        <v>1</v>
      </c>
      <c r="D15" s="22">
        <v>1</v>
      </c>
      <c r="E15" s="22"/>
      <c r="F15" s="28">
        <f>IF(C15="","",C15*D15*E15)</f>
        <v>0</v>
      </c>
      <c r="J15" s="159"/>
      <c r="K15" s="18"/>
      <c r="L15" s="10"/>
      <c r="M15" s="14"/>
      <c r="O15" s="151"/>
      <c r="P15" s="152"/>
      <c r="Q15" s="120" t="s">
        <v>46</v>
      </c>
      <c r="R15" s="121"/>
      <c r="S15" s="122"/>
    </row>
    <row r="16" spans="2:21" ht="15.75" customHeight="1" x14ac:dyDescent="0.15">
      <c r="B16" s="26">
        <v>2</v>
      </c>
      <c r="C16" s="21"/>
      <c r="D16" s="22">
        <v>1</v>
      </c>
      <c r="E16" s="22"/>
      <c r="F16" s="28" t="str">
        <f>IF(C16="","",C16*D16*E16)</f>
        <v/>
      </c>
      <c r="H16" s="7"/>
    </row>
    <row r="17" spans="2:21" ht="15.75" customHeight="1" x14ac:dyDescent="0.15">
      <c r="F17" s="28">
        <f>SUM(F15:F16)</f>
        <v>0</v>
      </c>
    </row>
    <row r="18" spans="2:21" ht="15.75" customHeight="1" x14ac:dyDescent="0.15"/>
    <row r="19" spans="2:21" ht="15.75" customHeight="1" x14ac:dyDescent="0.25">
      <c r="B19" s="134" t="s">
        <v>146</v>
      </c>
      <c r="C19" s="134"/>
      <c r="D19" s="134"/>
      <c r="E19" s="134"/>
      <c r="F19" s="134"/>
      <c r="G19" s="160" t="s">
        <v>159</v>
      </c>
      <c r="H19" s="161"/>
      <c r="I19" s="162"/>
      <c r="J19" s="154" t="s">
        <v>47</v>
      </c>
      <c r="K19" s="43" t="s">
        <v>41</v>
      </c>
      <c r="L19" s="42"/>
      <c r="M19" s="44"/>
      <c r="O19" s="125" t="s">
        <v>18</v>
      </c>
      <c r="P19" s="126"/>
      <c r="Q19" s="125" t="s">
        <v>64</v>
      </c>
      <c r="R19" s="153"/>
      <c r="S19" s="126"/>
    </row>
    <row r="20" spans="2:21" ht="15.75" customHeight="1" x14ac:dyDescent="0.25">
      <c r="B20" s="26" t="s">
        <v>7</v>
      </c>
      <c r="C20" s="26" t="s">
        <v>8</v>
      </c>
      <c r="D20" s="26" t="s">
        <v>9</v>
      </c>
      <c r="E20" s="26" t="s">
        <v>10</v>
      </c>
      <c r="F20" s="27" t="s">
        <v>11</v>
      </c>
      <c r="G20" s="113">
        <v>20</v>
      </c>
      <c r="H20" s="114" t="e">
        <f>H21*K20</f>
        <v>#DIV/0!</v>
      </c>
      <c r="I20" s="115">
        <v>5</v>
      </c>
      <c r="J20" s="155"/>
      <c r="K20" s="30" t="e">
        <f>1/E3/E7</f>
        <v>#DIV/0!</v>
      </c>
      <c r="L20" s="23">
        <v>3</v>
      </c>
      <c r="M20" s="31" t="e">
        <f>K20/L20</f>
        <v>#DIV/0!</v>
      </c>
      <c r="O20" s="125" t="s">
        <v>20</v>
      </c>
      <c r="P20" s="126"/>
      <c r="Q20" s="5" t="s">
        <v>27</v>
      </c>
      <c r="R20" s="32">
        <f>R4</f>
        <v>80</v>
      </c>
      <c r="S20" s="5" t="s">
        <v>29</v>
      </c>
    </row>
    <row r="21" spans="2:21" ht="15.75" customHeight="1" x14ac:dyDescent="0.25">
      <c r="B21" s="26">
        <v>1</v>
      </c>
      <c r="C21" s="21">
        <v>1</v>
      </c>
      <c r="D21" s="22">
        <v>1</v>
      </c>
      <c r="E21" s="22"/>
      <c r="F21" s="28">
        <f>IF(C21="","",C21*D21*E21)</f>
        <v>0</v>
      </c>
      <c r="G21" s="117" t="e">
        <f>IF(G20&gt;H20, ROUNDUP(((G20-H20)/I20)*1000, -1), ROUNDDOWN(ABS((G20-H20)/I20)*1000, -1))</f>
        <v>#DIV/0!</v>
      </c>
      <c r="H21" s="115">
        <v>4</v>
      </c>
      <c r="I21" s="116" t="e">
        <f>H20/I20</f>
        <v>#DIV/0!</v>
      </c>
      <c r="J21" s="155"/>
      <c r="K21" s="16"/>
      <c r="L21" s="23">
        <v>58.234999999999999</v>
      </c>
      <c r="M21" s="31" t="e">
        <f>L21/K20</f>
        <v>#DIV/0!</v>
      </c>
      <c r="O21" s="125" t="s">
        <v>21</v>
      </c>
      <c r="P21" s="126"/>
      <c r="Q21" s="5" t="s">
        <v>28</v>
      </c>
      <c r="R21" s="32">
        <f>R5</f>
        <v>200</v>
      </c>
      <c r="S21" s="5"/>
    </row>
    <row r="22" spans="2:21" ht="15.75" customHeight="1" x14ac:dyDescent="0.25">
      <c r="B22" s="26">
        <v>2</v>
      </c>
      <c r="C22" s="21"/>
      <c r="D22" s="22">
        <v>1</v>
      </c>
      <c r="E22" s="22"/>
      <c r="F22" s="28" t="str">
        <f t="shared" ref="F22" si="0">IF(C22="","",C22*D22*E22)</f>
        <v/>
      </c>
      <c r="J22" s="155"/>
      <c r="K22" s="17" t="s">
        <v>42</v>
      </c>
      <c r="L22" s="1"/>
      <c r="M22" s="13"/>
      <c r="O22" s="125" t="s">
        <v>25</v>
      </c>
      <c r="P22" s="126"/>
      <c r="Q22" s="5" t="s">
        <v>67</v>
      </c>
      <c r="R22" s="32">
        <f>E3*1000</f>
        <v>0</v>
      </c>
      <c r="S22" s="5" t="s">
        <v>34</v>
      </c>
      <c r="T22" s="101" t="s">
        <v>152</v>
      </c>
    </row>
    <row r="23" spans="2:21" ht="15.75" customHeight="1" x14ac:dyDescent="0.25">
      <c r="F23" s="28">
        <f>SUM(F21:F22)</f>
        <v>0</v>
      </c>
      <c r="J23" s="155"/>
      <c r="K23" s="30" t="e">
        <f>2/E3/E7</f>
        <v>#DIV/0!</v>
      </c>
      <c r="L23" s="30">
        <f>L20</f>
        <v>3</v>
      </c>
      <c r="M23" s="31" t="e">
        <f>K23/L23</f>
        <v>#DIV/0!</v>
      </c>
      <c r="O23" s="127" t="s">
        <v>22</v>
      </c>
      <c r="P23" s="128"/>
      <c r="Q23" s="5" t="s">
        <v>30</v>
      </c>
      <c r="R23" s="32">
        <f>E7*1000</f>
        <v>0</v>
      </c>
      <c r="S23" s="5" t="s">
        <v>35</v>
      </c>
      <c r="T23" s="100" t="s">
        <v>147</v>
      </c>
      <c r="U23" s="104"/>
    </row>
    <row r="24" spans="2:21" ht="15.75" customHeight="1" x14ac:dyDescent="0.25">
      <c r="B24" s="123"/>
      <c r="C24" s="123"/>
      <c r="D24" s="123"/>
      <c r="E24" s="7"/>
      <c r="F24" s="10"/>
      <c r="J24" s="155"/>
      <c r="K24" s="16"/>
      <c r="L24" s="30">
        <f>L21</f>
        <v>58.234999999999999</v>
      </c>
      <c r="M24" s="31" t="e">
        <f>M21</f>
        <v>#DIV/0!</v>
      </c>
      <c r="O24" s="129"/>
      <c r="P24" s="130"/>
      <c r="Q24" s="5" t="s">
        <v>31</v>
      </c>
      <c r="R24" s="33">
        <f>E10</f>
        <v>0</v>
      </c>
      <c r="S24" s="5" t="s">
        <v>35</v>
      </c>
      <c r="T24" s="100" t="s">
        <v>148</v>
      </c>
      <c r="U24" s="104"/>
    </row>
    <row r="25" spans="2:21" ht="15.75" customHeight="1" x14ac:dyDescent="0.35">
      <c r="B25" s="123" t="s">
        <v>73</v>
      </c>
      <c r="C25" s="123"/>
      <c r="D25" s="123"/>
      <c r="E25" s="123"/>
      <c r="F25" s="29">
        <f>F17</f>
        <v>0</v>
      </c>
      <c r="G25" s="2" t="s">
        <v>4</v>
      </c>
      <c r="J25" s="155"/>
      <c r="K25" s="17" t="s">
        <v>43</v>
      </c>
      <c r="L25" s="1"/>
      <c r="M25" s="13"/>
      <c r="O25" s="131"/>
      <c r="P25" s="132"/>
      <c r="Q25" s="5" t="s">
        <v>32</v>
      </c>
      <c r="R25" s="33">
        <f>E10-R23</f>
        <v>0</v>
      </c>
      <c r="S25" s="5" t="s">
        <v>35</v>
      </c>
      <c r="T25" s="100" t="s">
        <v>149</v>
      </c>
      <c r="U25" s="104"/>
    </row>
    <row r="26" spans="2:21" ht="15.75" customHeight="1" x14ac:dyDescent="0.35">
      <c r="B26" s="123" t="s">
        <v>6</v>
      </c>
      <c r="C26" s="123"/>
      <c r="D26" s="123"/>
      <c r="E26" s="123"/>
      <c r="F26" s="29">
        <f>F23</f>
        <v>0</v>
      </c>
      <c r="G26" s="2" t="s">
        <v>4</v>
      </c>
      <c r="J26" s="155"/>
      <c r="K26" s="30" t="e">
        <f>3/E3/E7</f>
        <v>#DIV/0!</v>
      </c>
      <c r="L26" s="30">
        <f>L20</f>
        <v>3</v>
      </c>
      <c r="M26" s="31" t="e">
        <f>K26/L26</f>
        <v>#DIV/0!</v>
      </c>
      <c r="O26" s="125" t="s">
        <v>23</v>
      </c>
      <c r="P26" s="126"/>
      <c r="Q26" s="5" t="s">
        <v>68</v>
      </c>
      <c r="R26" s="34">
        <f>ROUNDUP(F26,0)</f>
        <v>0</v>
      </c>
      <c r="S26" s="5" t="s">
        <v>36</v>
      </c>
      <c r="T26" s="100" t="s">
        <v>150</v>
      </c>
      <c r="U26" s="104"/>
    </row>
    <row r="27" spans="2:21" ht="15.75" customHeight="1" x14ac:dyDescent="0.25">
      <c r="B27" s="133" t="s">
        <v>48</v>
      </c>
      <c r="C27" s="133"/>
      <c r="D27" s="133"/>
      <c r="E27" s="133"/>
      <c r="F27" s="133"/>
      <c r="J27" s="155"/>
      <c r="K27" s="16"/>
      <c r="L27" s="30">
        <f>L21</f>
        <v>58.234999999999999</v>
      </c>
      <c r="M27" s="31" t="e">
        <f>M21</f>
        <v>#DIV/0!</v>
      </c>
      <c r="O27" s="125" t="s">
        <v>24</v>
      </c>
      <c r="P27" s="126"/>
      <c r="Q27" s="5" t="s">
        <v>68</v>
      </c>
      <c r="R27" s="34">
        <f>ROUNDUP(F29,0)</f>
        <v>0</v>
      </c>
      <c r="S27" s="5" t="s">
        <v>37</v>
      </c>
      <c r="T27" s="100" t="s">
        <v>151</v>
      </c>
      <c r="U27" s="104"/>
    </row>
    <row r="28" spans="2:21" ht="15.75" customHeight="1" x14ac:dyDescent="0.35">
      <c r="B28" s="123" t="s">
        <v>74</v>
      </c>
      <c r="C28" s="123"/>
      <c r="D28" s="123"/>
      <c r="E28" s="124"/>
      <c r="F28" s="29">
        <f>PRODUCT(F25,E6)</f>
        <v>0</v>
      </c>
      <c r="G28" s="2" t="s">
        <v>12</v>
      </c>
      <c r="J28" s="155"/>
      <c r="K28" s="17" t="s">
        <v>44</v>
      </c>
      <c r="L28" s="1"/>
      <c r="M28" s="13"/>
      <c r="O28" s="125" t="s">
        <v>26</v>
      </c>
      <c r="P28" s="126"/>
      <c r="Q28" s="5" t="s">
        <v>68</v>
      </c>
      <c r="R28" s="24"/>
      <c r="S28" s="5" t="s">
        <v>38</v>
      </c>
    </row>
    <row r="29" spans="2:21" ht="15.75" customHeight="1" x14ac:dyDescent="0.4">
      <c r="B29" s="123" t="s">
        <v>14</v>
      </c>
      <c r="C29" s="123"/>
      <c r="D29" s="123"/>
      <c r="E29" s="123"/>
      <c r="F29" s="29">
        <f>PRODUCT(F26,E7)</f>
        <v>0</v>
      </c>
      <c r="G29" s="2" t="s">
        <v>12</v>
      </c>
      <c r="J29" s="155"/>
      <c r="K29" s="30" t="e">
        <f>4/E3/E7</f>
        <v>#DIV/0!</v>
      </c>
      <c r="L29" s="30">
        <f>L20</f>
        <v>3</v>
      </c>
      <c r="M29" s="31" t="e">
        <f>K29/L29</f>
        <v>#DIV/0!</v>
      </c>
      <c r="O29" s="127"/>
      <c r="P29" s="128"/>
      <c r="Q29" s="120" t="s">
        <v>45</v>
      </c>
      <c r="R29" s="121"/>
      <c r="S29" s="122"/>
      <c r="T29" s="103" t="s">
        <v>153</v>
      </c>
      <c r="U29" s="102">
        <f>SUM(LEFT(T23,1)*U23,LEFT(T24,1)*U24,LEFT(T25,1)*U25,LEFT(T26,1)*U26,LEFT(T27,1)*U27)</f>
        <v>0</v>
      </c>
    </row>
    <row r="30" spans="2:21" ht="15.75" customHeight="1" x14ac:dyDescent="0.25">
      <c r="B30" s="133" t="s">
        <v>49</v>
      </c>
      <c r="C30" s="133"/>
      <c r="D30" s="133"/>
      <c r="E30" s="133"/>
      <c r="F30" s="133"/>
      <c r="J30" s="155"/>
      <c r="K30" s="16"/>
      <c r="L30" s="30">
        <f>L21</f>
        <v>58.234999999999999</v>
      </c>
      <c r="M30" s="31" t="e">
        <f>M21</f>
        <v>#DIV/0!</v>
      </c>
      <c r="O30" s="129"/>
      <c r="P30" s="130"/>
      <c r="Q30" s="120" t="s">
        <v>39</v>
      </c>
      <c r="R30" s="121"/>
      <c r="S30" s="122"/>
      <c r="T30" s="105" t="s">
        <v>154</v>
      </c>
      <c r="U30">
        <f>I32-U29</f>
        <v>0</v>
      </c>
    </row>
    <row r="31" spans="2:21" ht="15.75" customHeight="1" x14ac:dyDescent="0.35">
      <c r="B31" s="123" t="s">
        <v>75</v>
      </c>
      <c r="C31" s="123"/>
      <c r="D31" s="123"/>
      <c r="E31" s="123"/>
      <c r="F31" s="29">
        <f>PRODUCT(F28,E2)</f>
        <v>0</v>
      </c>
      <c r="G31" s="1" t="s">
        <v>13</v>
      </c>
      <c r="H31" s="3" t="s">
        <v>17</v>
      </c>
      <c r="I31" s="15">
        <f>ROUNDUP(F31+F31*2%,0)</f>
        <v>0</v>
      </c>
      <c r="J31" s="156"/>
      <c r="K31" s="18"/>
      <c r="L31" s="10"/>
      <c r="M31" s="14"/>
      <c r="O31" s="131"/>
      <c r="P31" s="132"/>
      <c r="Q31" s="120" t="s">
        <v>46</v>
      </c>
      <c r="R31" s="121"/>
      <c r="S31" s="122"/>
    </row>
    <row r="32" spans="2:21" ht="15.75" customHeight="1" x14ac:dyDescent="0.35">
      <c r="B32" s="123" t="s">
        <v>15</v>
      </c>
      <c r="C32" s="123"/>
      <c r="D32" s="123"/>
      <c r="E32" s="123"/>
      <c r="F32" s="29">
        <f>PRODUCT(F29,E3)</f>
        <v>0</v>
      </c>
      <c r="G32" s="1" t="s">
        <v>13</v>
      </c>
      <c r="H32" s="3" t="s">
        <v>17</v>
      </c>
      <c r="I32" s="15">
        <f>ROUNDUP(F32+F32*2%,0)</f>
        <v>0</v>
      </c>
    </row>
    <row r="33" spans="2:21" ht="15.75" customHeight="1" x14ac:dyDescent="0.15"/>
    <row r="34" spans="2:21" ht="15.75" customHeight="1" x14ac:dyDescent="0.25">
      <c r="B34" s="133" t="s">
        <v>51</v>
      </c>
      <c r="C34" s="133"/>
      <c r="D34" s="133"/>
      <c r="E34" s="133"/>
      <c r="F34" s="133"/>
    </row>
    <row r="35" spans="2:21" ht="15.75" customHeight="1" x14ac:dyDescent="0.25">
      <c r="B35" s="134" t="s">
        <v>50</v>
      </c>
      <c r="C35" s="134"/>
      <c r="D35" s="134"/>
      <c r="E35" s="134"/>
      <c r="F35" s="134"/>
    </row>
    <row r="36" spans="2:21" ht="15.75" customHeight="1" x14ac:dyDescent="0.25">
      <c r="B36" s="26" t="s">
        <v>7</v>
      </c>
      <c r="C36" s="26" t="s">
        <v>8</v>
      </c>
      <c r="D36" s="26" t="s">
        <v>9</v>
      </c>
      <c r="E36" s="26" t="s">
        <v>10</v>
      </c>
      <c r="F36" s="27" t="s">
        <v>11</v>
      </c>
      <c r="J36" s="142" t="s">
        <v>61</v>
      </c>
      <c r="K36" s="45" t="s">
        <v>41</v>
      </c>
      <c r="L36" s="46"/>
      <c r="M36" s="47"/>
      <c r="O36" s="118" t="s">
        <v>18</v>
      </c>
      <c r="P36" s="119"/>
      <c r="Q36" s="118" t="s">
        <v>65</v>
      </c>
      <c r="R36" s="141"/>
      <c r="S36" s="119"/>
    </row>
    <row r="37" spans="2:21" ht="15.75" customHeight="1" x14ac:dyDescent="0.25">
      <c r="B37" s="26">
        <v>1</v>
      </c>
      <c r="C37" s="21">
        <v>1</v>
      </c>
      <c r="D37" s="22">
        <v>1</v>
      </c>
      <c r="E37" s="22">
        <v>322.03699999999998</v>
      </c>
      <c r="F37" s="28">
        <f t="shared" ref="F37:F38" si="1">IF(C37="","",C37*D37*E37)</f>
        <v>322.03699999999998</v>
      </c>
      <c r="J37" s="143"/>
      <c r="K37" s="30" t="e">
        <f>1/E3/E8</f>
        <v>#DIV/0!</v>
      </c>
      <c r="L37" s="23">
        <v>4</v>
      </c>
      <c r="M37" s="31" t="e">
        <f>K37/L37</f>
        <v>#DIV/0!</v>
      </c>
      <c r="O37" s="118" t="s">
        <v>20</v>
      </c>
      <c r="P37" s="119"/>
      <c r="Q37" s="5" t="s">
        <v>27</v>
      </c>
      <c r="R37" s="35">
        <f>R21</f>
        <v>200</v>
      </c>
      <c r="S37" s="5" t="s">
        <v>29</v>
      </c>
    </row>
    <row r="38" spans="2:21" ht="15.75" customHeight="1" x14ac:dyDescent="0.25">
      <c r="B38" s="26">
        <v>2</v>
      </c>
      <c r="C38" s="21"/>
      <c r="D38" s="22"/>
      <c r="E38" s="22"/>
      <c r="F38" s="28" t="str">
        <f t="shared" si="1"/>
        <v/>
      </c>
      <c r="J38" s="143"/>
      <c r="K38" s="16"/>
      <c r="L38" s="23">
        <v>26.951000000000001</v>
      </c>
      <c r="M38" s="31" t="e">
        <f>L38/K37</f>
        <v>#DIV/0!</v>
      </c>
      <c r="O38" s="118" t="s">
        <v>21</v>
      </c>
      <c r="P38" s="119"/>
      <c r="Q38" s="5" t="s">
        <v>28</v>
      </c>
      <c r="R38" s="35">
        <f>R22</f>
        <v>0</v>
      </c>
      <c r="S38" s="5"/>
    </row>
    <row r="39" spans="2:21" ht="15.75" customHeight="1" x14ac:dyDescent="0.25">
      <c r="F39" s="28">
        <f>SUM(F37:F38)</f>
        <v>322.03699999999998</v>
      </c>
      <c r="J39" s="143"/>
      <c r="K39" s="17" t="s">
        <v>42</v>
      </c>
      <c r="L39" s="1"/>
      <c r="M39" s="13"/>
      <c r="O39" s="118" t="s">
        <v>25</v>
      </c>
      <c r="P39" s="119"/>
      <c r="Q39" s="5"/>
      <c r="R39" s="36" t="s">
        <v>66</v>
      </c>
      <c r="S39" s="5" t="s">
        <v>34</v>
      </c>
      <c r="T39" s="101" t="s">
        <v>152</v>
      </c>
    </row>
    <row r="40" spans="2:21" ht="18" x14ac:dyDescent="0.25">
      <c r="B40" s="123" t="s">
        <v>58</v>
      </c>
      <c r="C40" s="123"/>
      <c r="D40" s="123"/>
      <c r="E40" s="123"/>
      <c r="F40" s="29">
        <f>F39</f>
        <v>322.03699999999998</v>
      </c>
      <c r="G40" s="2" t="s">
        <v>4</v>
      </c>
      <c r="J40" s="143"/>
      <c r="K40" s="30" t="e">
        <f>2/E3/E8</f>
        <v>#DIV/0!</v>
      </c>
      <c r="L40" s="30">
        <f>L37</f>
        <v>4</v>
      </c>
      <c r="M40" s="31" t="e">
        <f>K40/L40</f>
        <v>#DIV/0!</v>
      </c>
      <c r="O40" s="135" t="s">
        <v>22</v>
      </c>
      <c r="P40" s="136"/>
      <c r="Q40" s="5"/>
      <c r="R40" s="35" t="s">
        <v>66</v>
      </c>
      <c r="S40" s="5" t="s">
        <v>35</v>
      </c>
      <c r="T40" s="100" t="s">
        <v>147</v>
      </c>
      <c r="U40" s="104"/>
    </row>
    <row r="41" spans="2:21" ht="18" x14ac:dyDescent="0.25">
      <c r="B41" s="123" t="s">
        <v>59</v>
      </c>
      <c r="C41" s="123"/>
      <c r="D41" s="123"/>
      <c r="E41" s="123"/>
      <c r="F41" s="29">
        <f>PRODUCT(F40,E8)</f>
        <v>322.03699999999998</v>
      </c>
      <c r="G41" s="2" t="s">
        <v>12</v>
      </c>
      <c r="H41" s="3"/>
      <c r="J41" s="143"/>
      <c r="K41" s="16"/>
      <c r="L41" s="30">
        <f>L38</f>
        <v>26.951000000000001</v>
      </c>
      <c r="M41" s="31" t="e">
        <f>M38</f>
        <v>#DIV/0!</v>
      </c>
      <c r="O41" s="137"/>
      <c r="P41" s="138"/>
      <c r="Q41" s="5" t="s">
        <v>31</v>
      </c>
      <c r="R41" s="37" t="s">
        <v>66</v>
      </c>
      <c r="S41" s="5" t="s">
        <v>35</v>
      </c>
      <c r="T41" s="100" t="s">
        <v>148</v>
      </c>
      <c r="U41" s="104"/>
    </row>
    <row r="42" spans="2:21" ht="18.75" x14ac:dyDescent="0.25">
      <c r="B42" s="123" t="s">
        <v>60</v>
      </c>
      <c r="C42" s="123"/>
      <c r="D42" s="123"/>
      <c r="E42" s="123"/>
      <c r="F42" s="29">
        <f>F41*E3</f>
        <v>0</v>
      </c>
      <c r="G42" s="1" t="s">
        <v>13</v>
      </c>
      <c r="H42" s="3" t="s">
        <v>17</v>
      </c>
      <c r="I42" s="6">
        <f>ROUNDUP(F42+F42*2%,0)</f>
        <v>0</v>
      </c>
      <c r="J42" s="143"/>
      <c r="K42" s="17" t="s">
        <v>43</v>
      </c>
      <c r="L42" s="1"/>
      <c r="M42" s="13"/>
      <c r="O42" s="139"/>
      <c r="P42" s="140"/>
      <c r="Q42" s="5" t="s">
        <v>32</v>
      </c>
      <c r="R42" s="37" t="s">
        <v>66</v>
      </c>
      <c r="S42" s="5" t="s">
        <v>35</v>
      </c>
      <c r="T42" s="100" t="s">
        <v>149</v>
      </c>
      <c r="U42" s="104"/>
    </row>
    <row r="43" spans="2:21" ht="15.75" x14ac:dyDescent="0.25">
      <c r="J43" s="143"/>
      <c r="K43" s="30" t="e">
        <f>3/E3/E8</f>
        <v>#DIV/0!</v>
      </c>
      <c r="L43" s="30">
        <f>L37</f>
        <v>4</v>
      </c>
      <c r="M43" s="31" t="e">
        <f>K43/L43</f>
        <v>#DIV/0!</v>
      </c>
      <c r="O43" s="118" t="s">
        <v>23</v>
      </c>
      <c r="P43" s="119"/>
      <c r="Q43" s="5"/>
      <c r="R43" s="38">
        <f>ROUNDUP(F40,0)</f>
        <v>323</v>
      </c>
      <c r="S43" s="5" t="s">
        <v>36</v>
      </c>
      <c r="T43" s="100" t="s">
        <v>150</v>
      </c>
      <c r="U43" s="104"/>
    </row>
    <row r="44" spans="2:21" ht="15.75" x14ac:dyDescent="0.25">
      <c r="J44" s="143"/>
      <c r="K44" s="16"/>
      <c r="L44" s="30">
        <f>L38</f>
        <v>26.951000000000001</v>
      </c>
      <c r="M44" s="31" t="e">
        <f>M38</f>
        <v>#DIV/0!</v>
      </c>
      <c r="O44" s="118" t="s">
        <v>24</v>
      </c>
      <c r="P44" s="119"/>
      <c r="Q44" s="5"/>
      <c r="R44" s="38">
        <f>ROUNDUP(F41,0)</f>
        <v>323</v>
      </c>
      <c r="S44" s="5" t="s">
        <v>37</v>
      </c>
      <c r="T44" s="100" t="s">
        <v>151</v>
      </c>
      <c r="U44" s="104"/>
    </row>
    <row r="45" spans="2:21" ht="18.75" x14ac:dyDescent="0.25">
      <c r="J45" s="143"/>
      <c r="K45" s="17" t="s">
        <v>44</v>
      </c>
      <c r="L45" s="1"/>
      <c r="M45" s="13"/>
      <c r="O45" s="118" t="s">
        <v>26</v>
      </c>
      <c r="P45" s="119"/>
      <c r="Q45" s="5"/>
      <c r="R45" s="25"/>
      <c r="S45" s="5" t="s">
        <v>38</v>
      </c>
    </row>
    <row r="46" spans="2:21" ht="15.75" x14ac:dyDescent="0.25">
      <c r="J46" s="143"/>
      <c r="K46" s="30" t="e">
        <f>4/E3/E8</f>
        <v>#DIV/0!</v>
      </c>
      <c r="L46" s="30">
        <f>L37</f>
        <v>4</v>
      </c>
      <c r="M46" s="31" t="e">
        <f>K46/L46</f>
        <v>#DIV/0!</v>
      </c>
      <c r="O46" s="135"/>
      <c r="P46" s="136"/>
      <c r="Q46" s="120"/>
      <c r="R46" s="121"/>
      <c r="S46" s="122"/>
      <c r="T46" s="103" t="s">
        <v>153</v>
      </c>
      <c r="U46" s="102">
        <f>SUM(LEFT(T40,1)*U40,LEFT(T41,1)*U41,LEFT(T42,1)*U42,LEFT(T43,1)*U43,LEFT(T44,1)*U44)</f>
        <v>0</v>
      </c>
    </row>
    <row r="47" spans="2:21" ht="15.75" x14ac:dyDescent="0.25">
      <c r="J47" s="143"/>
      <c r="K47" s="16"/>
      <c r="L47" s="30">
        <f>L38</f>
        <v>26.951000000000001</v>
      </c>
      <c r="M47" s="31" t="e">
        <f>M38</f>
        <v>#DIV/0!</v>
      </c>
      <c r="O47" s="137"/>
      <c r="P47" s="138"/>
      <c r="Q47" s="120"/>
      <c r="R47" s="121"/>
      <c r="S47" s="122"/>
      <c r="T47" s="105" t="s">
        <v>154</v>
      </c>
      <c r="U47">
        <f>I42-U46</f>
        <v>0</v>
      </c>
    </row>
    <row r="48" spans="2:21" ht="15.75" x14ac:dyDescent="0.25">
      <c r="J48" s="144"/>
      <c r="K48" s="18"/>
      <c r="L48" s="10"/>
      <c r="M48" s="14"/>
      <c r="O48" s="139"/>
      <c r="P48" s="140"/>
      <c r="Q48" s="120"/>
      <c r="R48" s="121"/>
      <c r="S48" s="122"/>
    </row>
    <row r="50" spans="19:21" ht="16.5" x14ac:dyDescent="0.25">
      <c r="S50" s="109" t="s">
        <v>155</v>
      </c>
      <c r="U50" s="108">
        <f>U14+U30+U47</f>
        <v>0</v>
      </c>
    </row>
  </sheetData>
  <mergeCells count="67">
    <mergeCell ref="O44:P44"/>
    <mergeCell ref="O45:P45"/>
    <mergeCell ref="O46:P48"/>
    <mergeCell ref="O37:P37"/>
    <mergeCell ref="O38:P38"/>
    <mergeCell ref="O36:P36"/>
    <mergeCell ref="O40:P42"/>
    <mergeCell ref="O43:P43"/>
    <mergeCell ref="Q47:S47"/>
    <mergeCell ref="B41:E41"/>
    <mergeCell ref="B42:E42"/>
    <mergeCell ref="B28:E28"/>
    <mergeCell ref="B29:E29"/>
    <mergeCell ref="J36:J48"/>
    <mergeCell ref="B34:F34"/>
    <mergeCell ref="B35:F35"/>
    <mergeCell ref="B30:F30"/>
    <mergeCell ref="B40:E40"/>
    <mergeCell ref="B31:E31"/>
    <mergeCell ref="B32:E32"/>
    <mergeCell ref="Q48:S48"/>
    <mergeCell ref="Q36:S36"/>
    <mergeCell ref="O39:P39"/>
    <mergeCell ref="Q46:S46"/>
    <mergeCell ref="Q13:S13"/>
    <mergeCell ref="Q14:S14"/>
    <mergeCell ref="Q15:S15"/>
    <mergeCell ref="O21:P21"/>
    <mergeCell ref="O22:P22"/>
    <mergeCell ref="Q31:S31"/>
    <mergeCell ref="B25:E25"/>
    <mergeCell ref="O28:P28"/>
    <mergeCell ref="B26:E26"/>
    <mergeCell ref="B27:F27"/>
    <mergeCell ref="O29:P31"/>
    <mergeCell ref="O26:P26"/>
    <mergeCell ref="O27:P27"/>
    <mergeCell ref="Q29:S29"/>
    <mergeCell ref="Q30:S30"/>
    <mergeCell ref="B24:D24"/>
    <mergeCell ref="B2:D2"/>
    <mergeCell ref="B3:D3"/>
    <mergeCell ref="J3:J15"/>
    <mergeCell ref="O3:P3"/>
    <mergeCell ref="B7:D7"/>
    <mergeCell ref="O7:P9"/>
    <mergeCell ref="B8:D8"/>
    <mergeCell ref="O10:P10"/>
    <mergeCell ref="O11:P11"/>
    <mergeCell ref="B13:F13"/>
    <mergeCell ref="O13:P15"/>
    <mergeCell ref="G19:I19"/>
    <mergeCell ref="Q3:S3"/>
    <mergeCell ref="O4:P4"/>
    <mergeCell ref="B5:F5"/>
    <mergeCell ref="O5:P5"/>
    <mergeCell ref="B6:D6"/>
    <mergeCell ref="O6:P6"/>
    <mergeCell ref="G3:I3"/>
    <mergeCell ref="B12:F12"/>
    <mergeCell ref="O12:P12"/>
    <mergeCell ref="B19:F19"/>
    <mergeCell ref="J19:J31"/>
    <mergeCell ref="O19:P19"/>
    <mergeCell ref="Q19:S19"/>
    <mergeCell ref="O20:P20"/>
    <mergeCell ref="O23:P25"/>
  </mergeCells>
  <phoneticPr fontId="9"/>
  <conditionalFormatting sqref="B34:I42 J36:U48">
    <cfRule type="expression" dxfId="22" priority="1">
      <formula>IF($E$8="",TRUE)</formula>
    </cfRule>
  </conditionalFormatting>
  <conditionalFormatting sqref="J3:U15 B25:G25 B28:G28 B31:I31">
    <cfRule type="expression" dxfId="21" priority="3">
      <formula>IF($E$6="",TRUE)</formula>
    </cfRule>
  </conditionalFormatting>
  <conditionalFormatting sqref="J19:U31 B26:G26 B29:G29 B32:I32">
    <cfRule type="expression" dxfId="20" priority="2">
      <formula>IF($E$7="",TRUE)</formula>
    </cfRule>
  </conditionalFormatting>
  <pageMargins left="0.7" right="0.7" top="0.75" bottom="0.75" header="0.3" footer="0.3"/>
  <pageSetup paperSize="9" scale="43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B1FD1D1F-2D86-4999-AA74-C481718E4815}">
          <x14:formula1>
            <xm:f>データ!$A$18:$A$22</xm:f>
          </x14:formula1>
          <xm:sqref>D10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25F73-401E-4DD5-A36E-DC73E0D7FF72}">
  <sheetPr>
    <tabColor theme="9" tint="0.59999389629810485"/>
  </sheetPr>
  <dimension ref="B1:U50"/>
  <sheetViews>
    <sheetView view="pageBreakPreview" zoomScale="85" zoomScaleNormal="70" zoomScaleSheetLayoutView="85" workbookViewId="0">
      <selection activeCell="H32" sqref="H32"/>
    </sheetView>
  </sheetViews>
  <sheetFormatPr defaultRowHeight="13.5" x14ac:dyDescent="0.15"/>
  <cols>
    <col min="1" max="1" width="6.375" customWidth="1"/>
    <col min="2" max="2" width="10.375" customWidth="1"/>
    <col min="3" max="3" width="11.625" customWidth="1"/>
    <col min="4" max="4" width="11.75" customWidth="1"/>
    <col min="5" max="5" width="11.25" customWidth="1"/>
    <col min="6" max="6" width="11.75" customWidth="1"/>
    <col min="7" max="7" width="7.875" customWidth="1"/>
    <col min="8" max="8" width="6.75" customWidth="1"/>
    <col min="9" max="9" width="9" bestFit="1" customWidth="1"/>
    <col min="10" max="10" width="11.625" customWidth="1"/>
    <col min="11" max="11" width="11.375" bestFit="1" customWidth="1"/>
    <col min="12" max="13" width="10" customWidth="1"/>
    <col min="14" max="14" width="6.375" customWidth="1"/>
    <col min="17" max="17" width="13" customWidth="1"/>
    <col min="18" max="18" width="10.75" customWidth="1"/>
    <col min="19" max="19" width="12.375" customWidth="1"/>
    <col min="20" max="20" width="6.375" customWidth="1"/>
    <col min="21" max="21" width="6" customWidth="1"/>
  </cols>
  <sheetData>
    <row r="1" spans="2:21" ht="15.75" x14ac:dyDescent="0.25">
      <c r="B1" s="8" t="s">
        <v>0</v>
      </c>
      <c r="C1" s="1"/>
      <c r="D1" s="1"/>
      <c r="E1" s="1"/>
      <c r="F1" s="1"/>
    </row>
    <row r="2" spans="2:21" ht="15.75" customHeight="1" x14ac:dyDescent="0.25">
      <c r="B2" s="123" t="s">
        <v>69</v>
      </c>
      <c r="C2" s="123"/>
      <c r="D2" s="123"/>
      <c r="E2" s="19"/>
      <c r="F2" s="1" t="s">
        <v>1</v>
      </c>
    </row>
    <row r="3" spans="2:21" ht="15.75" customHeight="1" x14ac:dyDescent="0.25">
      <c r="B3" s="123" t="s">
        <v>53</v>
      </c>
      <c r="C3" s="123"/>
      <c r="D3" s="123"/>
      <c r="E3" s="19"/>
      <c r="F3" s="1" t="s">
        <v>1</v>
      </c>
      <c r="J3" s="159" t="s">
        <v>70</v>
      </c>
      <c r="K3" s="40" t="s">
        <v>41</v>
      </c>
      <c r="L3" s="39"/>
      <c r="M3" s="41"/>
      <c r="O3" s="157" t="s">
        <v>18</v>
      </c>
      <c r="P3" s="157"/>
      <c r="Q3" s="145" t="s">
        <v>19</v>
      </c>
      <c r="R3" s="158"/>
      <c r="S3" s="146"/>
    </row>
    <row r="4" spans="2:21" ht="15.75" customHeight="1" x14ac:dyDescent="0.25">
      <c r="J4" s="159"/>
      <c r="K4" s="30" t="e">
        <f>1/E2/E6</f>
        <v>#DIV/0!</v>
      </c>
      <c r="L4" s="23">
        <v>3.94</v>
      </c>
      <c r="M4" s="31" t="e">
        <f>K4/L4</f>
        <v>#DIV/0!</v>
      </c>
      <c r="O4" s="145" t="s">
        <v>20</v>
      </c>
      <c r="P4" s="146"/>
      <c r="Q4" s="5" t="s">
        <v>27</v>
      </c>
      <c r="R4" s="24">
        <v>80</v>
      </c>
      <c r="S4" s="5" t="s">
        <v>29</v>
      </c>
    </row>
    <row r="5" spans="2:21" ht="15.75" customHeight="1" x14ac:dyDescent="0.25">
      <c r="B5" s="133" t="s">
        <v>2</v>
      </c>
      <c r="C5" s="133"/>
      <c r="D5" s="133"/>
      <c r="E5" s="133"/>
      <c r="F5" s="133"/>
      <c r="J5" s="159"/>
      <c r="K5" s="16"/>
      <c r="L5" s="23">
        <v>3.94</v>
      </c>
      <c r="M5" s="31" t="e">
        <f>L5/K4</f>
        <v>#DIV/0!</v>
      </c>
      <c r="O5" s="145" t="s">
        <v>21</v>
      </c>
      <c r="P5" s="146"/>
      <c r="Q5" s="5" t="s">
        <v>28</v>
      </c>
      <c r="R5" s="24">
        <v>200</v>
      </c>
      <c r="S5" s="5"/>
    </row>
    <row r="6" spans="2:21" ht="15.75" customHeight="1" x14ac:dyDescent="0.25">
      <c r="B6" s="123" t="s">
        <v>72</v>
      </c>
      <c r="C6" s="123"/>
      <c r="D6" s="123"/>
      <c r="E6" s="19"/>
      <c r="F6" s="1" t="s">
        <v>3</v>
      </c>
      <c r="J6" s="159"/>
      <c r="K6" s="17" t="s">
        <v>42</v>
      </c>
      <c r="L6" s="1"/>
      <c r="M6" s="13"/>
      <c r="O6" s="145" t="s">
        <v>25</v>
      </c>
      <c r="P6" s="146"/>
      <c r="Q6" s="5" t="s">
        <v>71</v>
      </c>
      <c r="R6" s="32">
        <f>E2*1000</f>
        <v>0</v>
      </c>
      <c r="S6" s="5" t="s">
        <v>34</v>
      </c>
      <c r="T6" s="101" t="s">
        <v>152</v>
      </c>
    </row>
    <row r="7" spans="2:21" ht="15.75" customHeight="1" x14ac:dyDescent="0.25">
      <c r="B7" s="123" t="s">
        <v>63</v>
      </c>
      <c r="C7" s="123"/>
      <c r="D7" s="123"/>
      <c r="E7" s="19"/>
      <c r="F7" s="1" t="s">
        <v>3</v>
      </c>
      <c r="J7" s="159"/>
      <c r="K7" s="30" t="e">
        <f>2/E2/E6</f>
        <v>#DIV/0!</v>
      </c>
      <c r="L7" s="30">
        <f>L4</f>
        <v>3.94</v>
      </c>
      <c r="M7" s="31" t="e">
        <f>K7/L7</f>
        <v>#DIV/0!</v>
      </c>
      <c r="O7" s="147" t="s">
        <v>22</v>
      </c>
      <c r="P7" s="148"/>
      <c r="Q7" s="5" t="s">
        <v>30</v>
      </c>
      <c r="R7" s="32">
        <f>E6*1000</f>
        <v>0</v>
      </c>
      <c r="S7" s="5" t="s">
        <v>35</v>
      </c>
      <c r="T7" s="100" t="s">
        <v>147</v>
      </c>
      <c r="U7" s="104"/>
    </row>
    <row r="8" spans="2:21" ht="15.75" customHeight="1" x14ac:dyDescent="0.25">
      <c r="B8" s="123" t="s">
        <v>54</v>
      </c>
      <c r="C8" s="123"/>
      <c r="D8" s="123"/>
      <c r="E8" s="19"/>
      <c r="F8" s="1" t="s">
        <v>3</v>
      </c>
      <c r="J8" s="159"/>
      <c r="K8" s="16"/>
      <c r="L8" s="30">
        <f>L5</f>
        <v>3.94</v>
      </c>
      <c r="M8" s="31" t="e">
        <f>M5</f>
        <v>#DIV/0!</v>
      </c>
      <c r="O8" s="149"/>
      <c r="P8" s="150"/>
      <c r="Q8" s="5" t="s">
        <v>31</v>
      </c>
      <c r="R8" s="33">
        <f>E10-R23</f>
        <v>0</v>
      </c>
      <c r="S8" s="5" t="s">
        <v>35</v>
      </c>
      <c r="T8" s="100" t="s">
        <v>148</v>
      </c>
      <c r="U8" s="104"/>
    </row>
    <row r="9" spans="2:21" ht="15.75" customHeight="1" x14ac:dyDescent="0.25">
      <c r="B9" s="9"/>
      <c r="C9" s="9"/>
      <c r="D9" s="9"/>
      <c r="E9" s="4"/>
      <c r="F9" s="1"/>
      <c r="J9" s="159"/>
      <c r="K9" s="17" t="s">
        <v>43</v>
      </c>
      <c r="L9" s="1"/>
      <c r="M9" s="13"/>
      <c r="O9" s="151"/>
      <c r="P9" s="152"/>
      <c r="Q9" s="5" t="s">
        <v>32</v>
      </c>
      <c r="R9" s="33">
        <f>E10-R23-R7</f>
        <v>0</v>
      </c>
      <c r="S9" s="5" t="s">
        <v>35</v>
      </c>
      <c r="T9" s="100" t="s">
        <v>149</v>
      </c>
      <c r="U9" s="104"/>
    </row>
    <row r="10" spans="2:21" ht="15.75" customHeight="1" x14ac:dyDescent="0.25">
      <c r="B10" s="11" t="s">
        <v>62</v>
      </c>
      <c r="C10" s="11"/>
      <c r="D10" s="11"/>
      <c r="E10" s="20"/>
      <c r="F10" s="1" t="s">
        <v>35</v>
      </c>
      <c r="J10" s="159"/>
      <c r="K10" s="30" t="e">
        <f>3/E2/E6</f>
        <v>#DIV/0!</v>
      </c>
      <c r="L10" s="30">
        <f>L4</f>
        <v>3.94</v>
      </c>
      <c r="M10" s="31" t="e">
        <f>K10/L10</f>
        <v>#DIV/0!</v>
      </c>
      <c r="O10" s="145" t="s">
        <v>23</v>
      </c>
      <c r="P10" s="146"/>
      <c r="Q10" s="5" t="s">
        <v>33</v>
      </c>
      <c r="R10" s="33">
        <f>ROUNDUP(F25,0)</f>
        <v>0</v>
      </c>
      <c r="S10" s="5" t="s">
        <v>36</v>
      </c>
      <c r="T10" s="100" t="s">
        <v>150</v>
      </c>
      <c r="U10" s="104"/>
    </row>
    <row r="11" spans="2:21" ht="15.75" customHeight="1" x14ac:dyDescent="0.25">
      <c r="B11" s="9"/>
      <c r="C11" s="9"/>
      <c r="D11" s="9"/>
      <c r="E11" s="4"/>
      <c r="F11" s="1"/>
      <c r="J11" s="159"/>
      <c r="K11" s="16"/>
      <c r="L11" s="30">
        <f>L5</f>
        <v>3.94</v>
      </c>
      <c r="M11" s="31" t="e">
        <f>M5</f>
        <v>#DIV/0!</v>
      </c>
      <c r="O11" s="145" t="s">
        <v>24</v>
      </c>
      <c r="P11" s="146"/>
      <c r="Q11" s="5" t="s">
        <v>33</v>
      </c>
      <c r="R11" s="33">
        <f>ROUNDUP(F28,0)</f>
        <v>0</v>
      </c>
      <c r="S11" s="5" t="s">
        <v>37</v>
      </c>
      <c r="T11" s="100" t="s">
        <v>151</v>
      </c>
      <c r="U11" s="104"/>
    </row>
    <row r="12" spans="2:21" ht="15.75" customHeight="1" x14ac:dyDescent="0.25">
      <c r="B12" s="133" t="s">
        <v>16</v>
      </c>
      <c r="C12" s="133"/>
      <c r="D12" s="133"/>
      <c r="E12" s="133"/>
      <c r="F12" s="133"/>
      <c r="J12" s="159"/>
      <c r="K12" s="17" t="s">
        <v>44</v>
      </c>
      <c r="L12" s="1"/>
      <c r="M12" s="13"/>
      <c r="O12" s="145" t="s">
        <v>26</v>
      </c>
      <c r="P12" s="146"/>
      <c r="Q12" s="5" t="s">
        <v>33</v>
      </c>
      <c r="R12" s="24"/>
      <c r="S12" s="5" t="s">
        <v>38</v>
      </c>
    </row>
    <row r="13" spans="2:21" ht="15.75" customHeight="1" x14ac:dyDescent="0.25">
      <c r="B13" s="134" t="s">
        <v>145</v>
      </c>
      <c r="C13" s="134"/>
      <c r="D13" s="134"/>
      <c r="E13" s="134"/>
      <c r="F13" s="134"/>
      <c r="J13" s="159"/>
      <c r="K13" s="30" t="e">
        <f>4/E2/E6</f>
        <v>#DIV/0!</v>
      </c>
      <c r="L13" s="30">
        <f>L4</f>
        <v>3.94</v>
      </c>
      <c r="M13" s="31" t="e">
        <f>K13/L13</f>
        <v>#DIV/0!</v>
      </c>
      <c r="O13" s="147"/>
      <c r="P13" s="148"/>
      <c r="Q13" s="120" t="s">
        <v>40</v>
      </c>
      <c r="R13" s="121"/>
      <c r="S13" s="122"/>
      <c r="T13" s="103" t="s">
        <v>153</v>
      </c>
      <c r="U13" s="102">
        <f>SUM(LEFT(T7,1)*U7,LEFT(T8,1)*U8,LEFT(T9,1)*U9,LEFT(T10,1)*U10,LEFT(T11,1)*U11)</f>
        <v>0</v>
      </c>
    </row>
    <row r="14" spans="2:21" ht="15.75" customHeight="1" x14ac:dyDescent="0.25">
      <c r="B14" s="26" t="s">
        <v>7</v>
      </c>
      <c r="C14" s="26" t="s">
        <v>8</v>
      </c>
      <c r="D14" s="26" t="s">
        <v>9</v>
      </c>
      <c r="E14" s="26" t="s">
        <v>10</v>
      </c>
      <c r="F14" s="27" t="s">
        <v>11</v>
      </c>
      <c r="J14" s="159"/>
      <c r="K14" s="16"/>
      <c r="L14" s="30">
        <f>L5</f>
        <v>3.94</v>
      </c>
      <c r="M14" s="31" t="e">
        <f>M5</f>
        <v>#DIV/0!</v>
      </c>
      <c r="O14" s="149"/>
      <c r="P14" s="150"/>
      <c r="Q14" s="120" t="s">
        <v>39</v>
      </c>
      <c r="R14" s="121"/>
      <c r="S14" s="122"/>
      <c r="T14" s="105" t="s">
        <v>154</v>
      </c>
      <c r="U14">
        <f>I31-U13</f>
        <v>0</v>
      </c>
    </row>
    <row r="15" spans="2:21" ht="15.75" customHeight="1" x14ac:dyDescent="0.25">
      <c r="B15" s="26">
        <v>1</v>
      </c>
      <c r="C15" s="21"/>
      <c r="D15" s="22">
        <v>1</v>
      </c>
      <c r="E15" s="22"/>
      <c r="F15" s="28" t="str">
        <f>IF(C15="","",C15*D15*E15)</f>
        <v/>
      </c>
      <c r="J15" s="159"/>
      <c r="K15" s="18"/>
      <c r="L15" s="10"/>
      <c r="M15" s="14"/>
      <c r="O15" s="151"/>
      <c r="P15" s="152"/>
      <c r="Q15" s="120" t="s">
        <v>46</v>
      </c>
      <c r="R15" s="121"/>
      <c r="S15" s="122"/>
    </row>
    <row r="16" spans="2:21" ht="15.75" customHeight="1" x14ac:dyDescent="0.15">
      <c r="B16" s="26">
        <v>2</v>
      </c>
      <c r="C16" s="21"/>
      <c r="D16" s="22">
        <v>1</v>
      </c>
      <c r="E16" s="22"/>
      <c r="F16" s="28" t="str">
        <f>IF(C16="","",C16*D16*E16)</f>
        <v/>
      </c>
      <c r="H16" s="7"/>
    </row>
    <row r="17" spans="2:21" ht="15.75" customHeight="1" x14ac:dyDescent="0.15">
      <c r="F17" s="28">
        <f>SUM(F15:F16)</f>
        <v>0</v>
      </c>
    </row>
    <row r="18" spans="2:21" ht="15.75" customHeight="1" x14ac:dyDescent="0.15"/>
    <row r="19" spans="2:21" ht="15.75" customHeight="1" x14ac:dyDescent="0.25">
      <c r="B19" s="134" t="s">
        <v>146</v>
      </c>
      <c r="C19" s="134"/>
      <c r="D19" s="134"/>
      <c r="E19" s="134"/>
      <c r="F19" s="134"/>
      <c r="J19" s="154" t="s">
        <v>47</v>
      </c>
      <c r="K19" s="43" t="s">
        <v>41</v>
      </c>
      <c r="L19" s="42"/>
      <c r="M19" s="44"/>
      <c r="O19" s="125" t="s">
        <v>18</v>
      </c>
      <c r="P19" s="126"/>
      <c r="Q19" s="125" t="s">
        <v>64</v>
      </c>
      <c r="R19" s="153"/>
      <c r="S19" s="126"/>
    </row>
    <row r="20" spans="2:21" ht="15.75" customHeight="1" x14ac:dyDescent="0.25">
      <c r="B20" s="26" t="s">
        <v>7</v>
      </c>
      <c r="C20" s="26" t="s">
        <v>8</v>
      </c>
      <c r="D20" s="26" t="s">
        <v>9</v>
      </c>
      <c r="E20" s="26" t="s">
        <v>10</v>
      </c>
      <c r="F20" s="27" t="s">
        <v>11</v>
      </c>
      <c r="J20" s="155"/>
      <c r="K20" s="30" t="e">
        <f>1/E3/E7</f>
        <v>#DIV/0!</v>
      </c>
      <c r="L20" s="23">
        <v>5.51</v>
      </c>
      <c r="M20" s="31" t="e">
        <f>K20/L20</f>
        <v>#DIV/0!</v>
      </c>
      <c r="O20" s="125" t="s">
        <v>20</v>
      </c>
      <c r="P20" s="126"/>
      <c r="Q20" s="5" t="s">
        <v>27</v>
      </c>
      <c r="R20" s="32">
        <f>R4</f>
        <v>80</v>
      </c>
      <c r="S20" s="5" t="s">
        <v>29</v>
      </c>
    </row>
    <row r="21" spans="2:21" ht="15.75" customHeight="1" x14ac:dyDescent="0.25">
      <c r="B21" s="26">
        <v>1</v>
      </c>
      <c r="C21" s="21"/>
      <c r="D21" s="22">
        <v>1</v>
      </c>
      <c r="E21" s="22"/>
      <c r="F21" s="28" t="str">
        <f>IF(C21="","",C21*D21*E21)</f>
        <v/>
      </c>
      <c r="J21" s="155"/>
      <c r="K21" s="16"/>
      <c r="L21" s="23">
        <v>9.6389999999999993</v>
      </c>
      <c r="M21" s="31" t="e">
        <f>L21/K20</f>
        <v>#DIV/0!</v>
      </c>
      <c r="O21" s="125" t="s">
        <v>21</v>
      </c>
      <c r="P21" s="126"/>
      <c r="Q21" s="5" t="s">
        <v>28</v>
      </c>
      <c r="R21" s="32">
        <f>R5</f>
        <v>200</v>
      </c>
      <c r="S21" s="5"/>
    </row>
    <row r="22" spans="2:21" ht="15.75" customHeight="1" x14ac:dyDescent="0.25">
      <c r="B22" s="26">
        <v>2</v>
      </c>
      <c r="C22" s="21"/>
      <c r="D22" s="22">
        <v>1</v>
      </c>
      <c r="E22" s="22"/>
      <c r="F22" s="28" t="str">
        <f t="shared" ref="F22" si="0">IF(C22="","",C22*D22*E22)</f>
        <v/>
      </c>
      <c r="J22" s="155"/>
      <c r="K22" s="17" t="s">
        <v>42</v>
      </c>
      <c r="L22" s="1"/>
      <c r="M22" s="13"/>
      <c r="O22" s="125" t="s">
        <v>25</v>
      </c>
      <c r="P22" s="126"/>
      <c r="Q22" s="5" t="s">
        <v>67</v>
      </c>
      <c r="R22" s="32">
        <f>E3*1000</f>
        <v>0</v>
      </c>
      <c r="S22" s="5" t="s">
        <v>34</v>
      </c>
      <c r="T22" s="101" t="s">
        <v>152</v>
      </c>
    </row>
    <row r="23" spans="2:21" ht="15.75" customHeight="1" x14ac:dyDescent="0.25">
      <c r="F23" s="28">
        <f>SUM(F21:F22)</f>
        <v>0</v>
      </c>
      <c r="J23" s="155"/>
      <c r="K23" s="30" t="e">
        <f>2/E3/E7</f>
        <v>#DIV/0!</v>
      </c>
      <c r="L23" s="30">
        <f>L20</f>
        <v>5.51</v>
      </c>
      <c r="M23" s="31" t="e">
        <f>K23/L23</f>
        <v>#DIV/0!</v>
      </c>
      <c r="O23" s="127" t="s">
        <v>22</v>
      </c>
      <c r="P23" s="128"/>
      <c r="Q23" s="5" t="s">
        <v>30</v>
      </c>
      <c r="R23" s="32">
        <f>E7*1000</f>
        <v>0</v>
      </c>
      <c r="S23" s="5" t="s">
        <v>35</v>
      </c>
      <c r="T23" s="100" t="s">
        <v>147</v>
      </c>
      <c r="U23" s="104"/>
    </row>
    <row r="24" spans="2:21" ht="15.75" customHeight="1" x14ac:dyDescent="0.25">
      <c r="B24" s="123"/>
      <c r="C24" s="123"/>
      <c r="D24" s="123"/>
      <c r="E24" s="7"/>
      <c r="F24" s="10"/>
      <c r="J24" s="155"/>
      <c r="K24" s="16"/>
      <c r="L24" s="30">
        <f>L21</f>
        <v>9.6389999999999993</v>
      </c>
      <c r="M24" s="31" t="e">
        <f>M21</f>
        <v>#DIV/0!</v>
      </c>
      <c r="O24" s="129"/>
      <c r="P24" s="130"/>
      <c r="Q24" s="5" t="s">
        <v>31</v>
      </c>
      <c r="R24" s="33">
        <f>E10</f>
        <v>0</v>
      </c>
      <c r="S24" s="5" t="s">
        <v>35</v>
      </c>
      <c r="T24" s="100" t="s">
        <v>148</v>
      </c>
      <c r="U24" s="104"/>
    </row>
    <row r="25" spans="2:21" ht="15.75" customHeight="1" x14ac:dyDescent="0.35">
      <c r="B25" s="123" t="s">
        <v>73</v>
      </c>
      <c r="C25" s="123"/>
      <c r="D25" s="123"/>
      <c r="E25" s="123"/>
      <c r="F25" s="29">
        <f>F17</f>
        <v>0</v>
      </c>
      <c r="G25" s="2" t="s">
        <v>4</v>
      </c>
      <c r="J25" s="155"/>
      <c r="K25" s="17" t="s">
        <v>43</v>
      </c>
      <c r="L25" s="1"/>
      <c r="M25" s="13"/>
      <c r="O25" s="131"/>
      <c r="P25" s="132"/>
      <c r="Q25" s="5" t="s">
        <v>32</v>
      </c>
      <c r="R25" s="33">
        <f>E10-R23</f>
        <v>0</v>
      </c>
      <c r="S25" s="5" t="s">
        <v>35</v>
      </c>
      <c r="T25" s="100" t="s">
        <v>149</v>
      </c>
      <c r="U25" s="104"/>
    </row>
    <row r="26" spans="2:21" ht="15.75" customHeight="1" x14ac:dyDescent="0.35">
      <c r="B26" s="123" t="s">
        <v>6</v>
      </c>
      <c r="C26" s="123"/>
      <c r="D26" s="123"/>
      <c r="E26" s="123"/>
      <c r="F26" s="29">
        <f>F23</f>
        <v>0</v>
      </c>
      <c r="G26" s="2" t="s">
        <v>4</v>
      </c>
      <c r="J26" s="155"/>
      <c r="K26" s="30" t="e">
        <f>3/E3/E7</f>
        <v>#DIV/0!</v>
      </c>
      <c r="L26" s="30">
        <f>L20</f>
        <v>5.51</v>
      </c>
      <c r="M26" s="31" t="e">
        <f>K26/L26</f>
        <v>#DIV/0!</v>
      </c>
      <c r="O26" s="125" t="s">
        <v>23</v>
      </c>
      <c r="P26" s="126"/>
      <c r="Q26" s="5" t="s">
        <v>68</v>
      </c>
      <c r="R26" s="34">
        <f>ROUNDUP(F26,0)</f>
        <v>0</v>
      </c>
      <c r="S26" s="5" t="s">
        <v>36</v>
      </c>
      <c r="T26" s="100" t="s">
        <v>150</v>
      </c>
      <c r="U26" s="104"/>
    </row>
    <row r="27" spans="2:21" ht="15.75" customHeight="1" x14ac:dyDescent="0.25">
      <c r="B27" s="133" t="s">
        <v>48</v>
      </c>
      <c r="C27" s="133"/>
      <c r="D27" s="133"/>
      <c r="E27" s="133"/>
      <c r="F27" s="133"/>
      <c r="J27" s="155"/>
      <c r="K27" s="16"/>
      <c r="L27" s="30">
        <f>L21</f>
        <v>9.6389999999999993</v>
      </c>
      <c r="M27" s="31" t="e">
        <f>M21</f>
        <v>#DIV/0!</v>
      </c>
      <c r="O27" s="125" t="s">
        <v>24</v>
      </c>
      <c r="P27" s="126"/>
      <c r="Q27" s="5" t="s">
        <v>68</v>
      </c>
      <c r="R27" s="34">
        <f>ROUNDUP(F29,0)</f>
        <v>0</v>
      </c>
      <c r="S27" s="5" t="s">
        <v>37</v>
      </c>
      <c r="T27" s="100" t="s">
        <v>151</v>
      </c>
      <c r="U27" s="104"/>
    </row>
    <row r="28" spans="2:21" ht="15.75" customHeight="1" x14ac:dyDescent="0.35">
      <c r="B28" s="123" t="s">
        <v>74</v>
      </c>
      <c r="C28" s="123"/>
      <c r="D28" s="123"/>
      <c r="E28" s="124"/>
      <c r="F28" s="29">
        <f>PRODUCT(F25,E6)</f>
        <v>0</v>
      </c>
      <c r="G28" s="2" t="s">
        <v>12</v>
      </c>
      <c r="J28" s="155"/>
      <c r="K28" s="17" t="s">
        <v>44</v>
      </c>
      <c r="L28" s="1"/>
      <c r="M28" s="13"/>
      <c r="O28" s="125" t="s">
        <v>26</v>
      </c>
      <c r="P28" s="126"/>
      <c r="Q28" s="5" t="s">
        <v>68</v>
      </c>
      <c r="R28" s="24"/>
      <c r="S28" s="5" t="s">
        <v>38</v>
      </c>
    </row>
    <row r="29" spans="2:21" ht="15.75" customHeight="1" x14ac:dyDescent="0.4">
      <c r="B29" s="123" t="s">
        <v>14</v>
      </c>
      <c r="C29" s="123"/>
      <c r="D29" s="123"/>
      <c r="E29" s="123"/>
      <c r="F29" s="29">
        <f>PRODUCT(F26,E7)</f>
        <v>0</v>
      </c>
      <c r="G29" s="2" t="s">
        <v>12</v>
      </c>
      <c r="J29" s="155"/>
      <c r="K29" s="30" t="e">
        <f>4/E3/E7</f>
        <v>#DIV/0!</v>
      </c>
      <c r="L29" s="30">
        <f>L20</f>
        <v>5.51</v>
      </c>
      <c r="M29" s="31" t="e">
        <f>K29/L29</f>
        <v>#DIV/0!</v>
      </c>
      <c r="O29" s="127"/>
      <c r="P29" s="128"/>
      <c r="Q29" s="120" t="s">
        <v>45</v>
      </c>
      <c r="R29" s="121"/>
      <c r="S29" s="122"/>
      <c r="T29" s="103" t="s">
        <v>153</v>
      </c>
      <c r="U29" s="102">
        <f>SUM(LEFT(T23,1)*U23,LEFT(T24,1)*U24,LEFT(T25,1)*U25,LEFT(T26,1)*U26,LEFT(T27,1)*U27)</f>
        <v>0</v>
      </c>
    </row>
    <row r="30" spans="2:21" ht="15.75" customHeight="1" x14ac:dyDescent="0.25">
      <c r="B30" s="133" t="s">
        <v>49</v>
      </c>
      <c r="C30" s="133"/>
      <c r="D30" s="133"/>
      <c r="E30" s="133"/>
      <c r="F30" s="133"/>
      <c r="J30" s="155"/>
      <c r="K30" s="16"/>
      <c r="L30" s="30">
        <f>L21</f>
        <v>9.6389999999999993</v>
      </c>
      <c r="M30" s="31" t="e">
        <f>M21</f>
        <v>#DIV/0!</v>
      </c>
      <c r="O30" s="129"/>
      <c r="P30" s="130"/>
      <c r="Q30" s="120" t="s">
        <v>39</v>
      </c>
      <c r="R30" s="121"/>
      <c r="S30" s="122"/>
      <c r="T30" s="105" t="s">
        <v>154</v>
      </c>
      <c r="U30">
        <f>I32-U29</f>
        <v>0</v>
      </c>
    </row>
    <row r="31" spans="2:21" ht="15.75" customHeight="1" x14ac:dyDescent="0.35">
      <c r="B31" s="123" t="s">
        <v>75</v>
      </c>
      <c r="C31" s="123"/>
      <c r="D31" s="123"/>
      <c r="E31" s="123"/>
      <c r="F31" s="29">
        <f>PRODUCT(F28,E2)</f>
        <v>0</v>
      </c>
      <c r="G31" s="1" t="s">
        <v>13</v>
      </c>
      <c r="H31" s="3" t="s">
        <v>17</v>
      </c>
      <c r="I31" s="15">
        <f>ROUNDUP(F31+F31*2%,0)</f>
        <v>0</v>
      </c>
      <c r="J31" s="156"/>
      <c r="K31" s="18"/>
      <c r="L31" s="10"/>
      <c r="M31" s="14"/>
      <c r="O31" s="131"/>
      <c r="P31" s="132"/>
      <c r="Q31" s="120" t="s">
        <v>46</v>
      </c>
      <c r="R31" s="121"/>
      <c r="S31" s="122"/>
    </row>
    <row r="32" spans="2:21" ht="15.75" customHeight="1" x14ac:dyDescent="0.35">
      <c r="B32" s="123" t="s">
        <v>15</v>
      </c>
      <c r="C32" s="123"/>
      <c r="D32" s="123"/>
      <c r="E32" s="123"/>
      <c r="F32" s="29">
        <f>PRODUCT(F29,E3)</f>
        <v>0</v>
      </c>
      <c r="G32" s="1" t="s">
        <v>13</v>
      </c>
      <c r="H32" s="3" t="s">
        <v>17</v>
      </c>
      <c r="I32" s="15">
        <f>ROUNDUP(F32+F32*2%,0)</f>
        <v>0</v>
      </c>
    </row>
    <row r="33" spans="2:21" ht="15.75" customHeight="1" x14ac:dyDescent="0.15"/>
    <row r="34" spans="2:21" ht="15.75" customHeight="1" x14ac:dyDescent="0.25">
      <c r="B34" s="133" t="s">
        <v>51</v>
      </c>
      <c r="C34" s="133"/>
      <c r="D34" s="133"/>
      <c r="E34" s="133"/>
      <c r="F34" s="133"/>
    </row>
    <row r="35" spans="2:21" ht="15.75" customHeight="1" x14ac:dyDescent="0.25">
      <c r="B35" s="134" t="s">
        <v>50</v>
      </c>
      <c r="C35" s="134"/>
      <c r="D35" s="134"/>
      <c r="E35" s="134"/>
      <c r="F35" s="134"/>
    </row>
    <row r="36" spans="2:21" ht="15.75" customHeight="1" x14ac:dyDescent="0.25">
      <c r="B36" s="26" t="s">
        <v>7</v>
      </c>
      <c r="C36" s="26" t="s">
        <v>8</v>
      </c>
      <c r="D36" s="26" t="s">
        <v>9</v>
      </c>
      <c r="E36" s="26" t="s">
        <v>10</v>
      </c>
      <c r="F36" s="27" t="s">
        <v>11</v>
      </c>
      <c r="J36" s="142" t="s">
        <v>61</v>
      </c>
      <c r="K36" s="45" t="s">
        <v>41</v>
      </c>
      <c r="L36" s="46"/>
      <c r="M36" s="47"/>
      <c r="O36" s="118" t="s">
        <v>18</v>
      </c>
      <c r="P36" s="119"/>
      <c r="Q36" s="118" t="s">
        <v>65</v>
      </c>
      <c r="R36" s="141"/>
      <c r="S36" s="119"/>
    </row>
    <row r="37" spans="2:21" ht="15.75" customHeight="1" x14ac:dyDescent="0.25">
      <c r="B37" s="26">
        <v>1</v>
      </c>
      <c r="C37" s="21"/>
      <c r="D37" s="22"/>
      <c r="E37" s="22"/>
      <c r="F37" s="28" t="str">
        <f t="shared" ref="F37:F38" si="1">IF(C37="","",C37*D37*E37)</f>
        <v/>
      </c>
      <c r="J37" s="143"/>
      <c r="K37" s="30" t="e">
        <f>1/E3/E8</f>
        <v>#DIV/0!</v>
      </c>
      <c r="L37" s="23">
        <v>5.51</v>
      </c>
      <c r="M37" s="31" t="e">
        <f>K37/L37</f>
        <v>#DIV/0!</v>
      </c>
      <c r="O37" s="118" t="s">
        <v>20</v>
      </c>
      <c r="P37" s="119"/>
      <c r="Q37" s="5" t="s">
        <v>27</v>
      </c>
      <c r="R37" s="35">
        <f>R21</f>
        <v>200</v>
      </c>
      <c r="S37" s="5" t="s">
        <v>29</v>
      </c>
    </row>
    <row r="38" spans="2:21" ht="15.75" customHeight="1" x14ac:dyDescent="0.25">
      <c r="B38" s="26">
        <v>2</v>
      </c>
      <c r="C38" s="21"/>
      <c r="D38" s="22"/>
      <c r="E38" s="22"/>
      <c r="F38" s="28" t="str">
        <f t="shared" si="1"/>
        <v/>
      </c>
      <c r="J38" s="143"/>
      <c r="K38" s="16"/>
      <c r="L38" s="23">
        <v>9.6389999999999993</v>
      </c>
      <c r="M38" s="31" t="e">
        <f>L38/K37</f>
        <v>#DIV/0!</v>
      </c>
      <c r="O38" s="118" t="s">
        <v>21</v>
      </c>
      <c r="P38" s="119"/>
      <c r="Q38" s="5" t="s">
        <v>28</v>
      </c>
      <c r="R38" s="35">
        <f>R22</f>
        <v>0</v>
      </c>
      <c r="S38" s="5"/>
    </row>
    <row r="39" spans="2:21" ht="15.75" customHeight="1" x14ac:dyDescent="0.25">
      <c r="F39" s="28">
        <f>SUM(F37:F38)</f>
        <v>0</v>
      </c>
      <c r="J39" s="143"/>
      <c r="K39" s="17" t="s">
        <v>42</v>
      </c>
      <c r="L39" s="1"/>
      <c r="M39" s="13"/>
      <c r="O39" s="118" t="s">
        <v>25</v>
      </c>
      <c r="P39" s="119"/>
      <c r="Q39" s="5"/>
      <c r="R39" s="36" t="s">
        <v>66</v>
      </c>
      <c r="S39" s="5" t="s">
        <v>34</v>
      </c>
      <c r="T39" s="101" t="s">
        <v>152</v>
      </c>
    </row>
    <row r="40" spans="2:21" ht="18" x14ac:dyDescent="0.25">
      <c r="B40" s="123" t="s">
        <v>58</v>
      </c>
      <c r="C40" s="123"/>
      <c r="D40" s="123"/>
      <c r="E40" s="123"/>
      <c r="F40" s="29">
        <f>F39</f>
        <v>0</v>
      </c>
      <c r="G40" s="2" t="s">
        <v>4</v>
      </c>
      <c r="J40" s="143"/>
      <c r="K40" s="30" t="e">
        <f>2/E3/E8</f>
        <v>#DIV/0!</v>
      </c>
      <c r="L40" s="30">
        <f>L37</f>
        <v>5.51</v>
      </c>
      <c r="M40" s="31" t="e">
        <f>K40/L40</f>
        <v>#DIV/0!</v>
      </c>
      <c r="O40" s="135" t="s">
        <v>22</v>
      </c>
      <c r="P40" s="136"/>
      <c r="Q40" s="5"/>
      <c r="R40" s="35" t="s">
        <v>66</v>
      </c>
      <c r="S40" s="5" t="s">
        <v>35</v>
      </c>
      <c r="T40" s="100" t="s">
        <v>147</v>
      </c>
      <c r="U40" s="104"/>
    </row>
    <row r="41" spans="2:21" ht="18" x14ac:dyDescent="0.25">
      <c r="B41" s="123" t="s">
        <v>59</v>
      </c>
      <c r="C41" s="123"/>
      <c r="D41" s="123"/>
      <c r="E41" s="123"/>
      <c r="F41" s="29">
        <f>PRODUCT(F40,E8)</f>
        <v>0</v>
      </c>
      <c r="G41" s="2" t="s">
        <v>12</v>
      </c>
      <c r="H41" s="3"/>
      <c r="J41" s="143"/>
      <c r="K41" s="16"/>
      <c r="L41" s="30">
        <f>L38</f>
        <v>9.6389999999999993</v>
      </c>
      <c r="M41" s="31" t="e">
        <f>M38</f>
        <v>#DIV/0!</v>
      </c>
      <c r="O41" s="137"/>
      <c r="P41" s="138"/>
      <c r="Q41" s="5" t="s">
        <v>31</v>
      </c>
      <c r="R41" s="37" t="s">
        <v>66</v>
      </c>
      <c r="S41" s="5" t="s">
        <v>35</v>
      </c>
      <c r="T41" s="100" t="s">
        <v>148</v>
      </c>
      <c r="U41" s="104"/>
    </row>
    <row r="42" spans="2:21" ht="18.75" x14ac:dyDescent="0.25">
      <c r="B42" s="123" t="s">
        <v>60</v>
      </c>
      <c r="C42" s="123"/>
      <c r="D42" s="123"/>
      <c r="E42" s="123"/>
      <c r="F42" s="29">
        <f>F41*E3</f>
        <v>0</v>
      </c>
      <c r="G42" s="1" t="s">
        <v>13</v>
      </c>
      <c r="H42" s="3" t="s">
        <v>17</v>
      </c>
      <c r="I42" s="6">
        <f>ROUNDUP(F42+F42*2%,0)</f>
        <v>0</v>
      </c>
      <c r="J42" s="143"/>
      <c r="K42" s="17" t="s">
        <v>43</v>
      </c>
      <c r="L42" s="1"/>
      <c r="M42" s="13"/>
      <c r="O42" s="139"/>
      <c r="P42" s="140"/>
      <c r="Q42" s="5" t="s">
        <v>32</v>
      </c>
      <c r="R42" s="37" t="s">
        <v>66</v>
      </c>
      <c r="S42" s="5" t="s">
        <v>35</v>
      </c>
      <c r="T42" s="100" t="s">
        <v>149</v>
      </c>
      <c r="U42" s="104"/>
    </row>
    <row r="43" spans="2:21" ht="15.75" x14ac:dyDescent="0.25">
      <c r="J43" s="143"/>
      <c r="K43" s="30" t="e">
        <f>3/E3/E8</f>
        <v>#DIV/0!</v>
      </c>
      <c r="L43" s="30">
        <f>L37</f>
        <v>5.51</v>
      </c>
      <c r="M43" s="31" t="e">
        <f>K43/L43</f>
        <v>#DIV/0!</v>
      </c>
      <c r="O43" s="118" t="s">
        <v>23</v>
      </c>
      <c r="P43" s="119"/>
      <c r="Q43" s="5"/>
      <c r="R43" s="38">
        <f>ROUNDUP(F40,0)</f>
        <v>0</v>
      </c>
      <c r="S43" s="5" t="s">
        <v>36</v>
      </c>
      <c r="T43" s="100" t="s">
        <v>150</v>
      </c>
      <c r="U43" s="104"/>
    </row>
    <row r="44" spans="2:21" ht="15.75" x14ac:dyDescent="0.25">
      <c r="J44" s="143"/>
      <c r="K44" s="16"/>
      <c r="L44" s="30">
        <f>L38</f>
        <v>9.6389999999999993</v>
      </c>
      <c r="M44" s="31" t="e">
        <f>M38</f>
        <v>#DIV/0!</v>
      </c>
      <c r="O44" s="118" t="s">
        <v>24</v>
      </c>
      <c r="P44" s="119"/>
      <c r="Q44" s="5"/>
      <c r="R44" s="38">
        <f>ROUNDUP(F41,0)</f>
        <v>0</v>
      </c>
      <c r="S44" s="5" t="s">
        <v>37</v>
      </c>
      <c r="T44" s="100" t="s">
        <v>151</v>
      </c>
      <c r="U44" s="104"/>
    </row>
    <row r="45" spans="2:21" ht="18.75" x14ac:dyDescent="0.25">
      <c r="J45" s="143"/>
      <c r="K45" s="17" t="s">
        <v>44</v>
      </c>
      <c r="L45" s="1"/>
      <c r="M45" s="13"/>
      <c r="O45" s="118" t="s">
        <v>26</v>
      </c>
      <c r="P45" s="119"/>
      <c r="Q45" s="5"/>
      <c r="R45" s="25"/>
      <c r="S45" s="5" t="s">
        <v>38</v>
      </c>
    </row>
    <row r="46" spans="2:21" ht="15.75" x14ac:dyDescent="0.25">
      <c r="J46" s="143"/>
      <c r="K46" s="30" t="e">
        <f>4/E3/E8</f>
        <v>#DIV/0!</v>
      </c>
      <c r="L46" s="30">
        <f>L37</f>
        <v>5.51</v>
      </c>
      <c r="M46" s="31" t="e">
        <f>K46/L46</f>
        <v>#DIV/0!</v>
      </c>
      <c r="O46" s="135"/>
      <c r="P46" s="136"/>
      <c r="Q46" s="120"/>
      <c r="R46" s="121"/>
      <c r="S46" s="122"/>
      <c r="T46" s="103" t="s">
        <v>153</v>
      </c>
      <c r="U46" s="102">
        <f>SUM(LEFT(T40,1)*U40,LEFT(T41,1)*U41,LEFT(T42,1)*U42,LEFT(T43,1)*U43,LEFT(T44,1)*U44)</f>
        <v>0</v>
      </c>
    </row>
    <row r="47" spans="2:21" ht="15.75" x14ac:dyDescent="0.25">
      <c r="J47" s="143"/>
      <c r="K47" s="16"/>
      <c r="L47" s="30">
        <f>L38</f>
        <v>9.6389999999999993</v>
      </c>
      <c r="M47" s="31" t="e">
        <f>M38</f>
        <v>#DIV/0!</v>
      </c>
      <c r="O47" s="137"/>
      <c r="P47" s="138"/>
      <c r="Q47" s="120"/>
      <c r="R47" s="121"/>
      <c r="S47" s="122"/>
      <c r="T47" s="105" t="s">
        <v>154</v>
      </c>
      <c r="U47">
        <f>I42-U46</f>
        <v>0</v>
      </c>
    </row>
    <row r="48" spans="2:21" ht="15.75" x14ac:dyDescent="0.25">
      <c r="J48" s="144"/>
      <c r="K48" s="18"/>
      <c r="L48" s="10"/>
      <c r="M48" s="14"/>
      <c r="O48" s="139"/>
      <c r="P48" s="140"/>
      <c r="Q48" s="120"/>
      <c r="R48" s="121"/>
      <c r="S48" s="122"/>
    </row>
    <row r="50" spans="19:21" ht="16.5" x14ac:dyDescent="0.25">
      <c r="S50" s="109" t="s">
        <v>155</v>
      </c>
      <c r="U50" s="108">
        <f>U14+U30+U47</f>
        <v>0</v>
      </c>
    </row>
  </sheetData>
  <mergeCells count="65">
    <mergeCell ref="Q3:S3"/>
    <mergeCell ref="O4:P4"/>
    <mergeCell ref="B5:F5"/>
    <mergeCell ref="O5:P5"/>
    <mergeCell ref="B6:D6"/>
    <mergeCell ref="O6:P6"/>
    <mergeCell ref="B12:F12"/>
    <mergeCell ref="O12:P12"/>
    <mergeCell ref="B2:D2"/>
    <mergeCell ref="B3:D3"/>
    <mergeCell ref="J3:J15"/>
    <mergeCell ref="O3:P3"/>
    <mergeCell ref="B7:D7"/>
    <mergeCell ref="O7:P9"/>
    <mergeCell ref="B8:D8"/>
    <mergeCell ref="O10:P10"/>
    <mergeCell ref="O11:P11"/>
    <mergeCell ref="B13:F13"/>
    <mergeCell ref="O13:P15"/>
    <mergeCell ref="B19:F19"/>
    <mergeCell ref="J19:J31"/>
    <mergeCell ref="O19:P19"/>
    <mergeCell ref="Q19:S19"/>
    <mergeCell ref="O20:P20"/>
    <mergeCell ref="O21:P21"/>
    <mergeCell ref="O22:P22"/>
    <mergeCell ref="O23:P25"/>
    <mergeCell ref="B24:D24"/>
    <mergeCell ref="B31:E31"/>
    <mergeCell ref="Q31:S31"/>
    <mergeCell ref="B25:E25"/>
    <mergeCell ref="B26:E26"/>
    <mergeCell ref="O26:P26"/>
    <mergeCell ref="B32:E32"/>
    <mergeCell ref="B27:F27"/>
    <mergeCell ref="O27:P27"/>
    <mergeCell ref="B28:E28"/>
    <mergeCell ref="O28:P28"/>
    <mergeCell ref="B29:E29"/>
    <mergeCell ref="O29:P31"/>
    <mergeCell ref="B30:F30"/>
    <mergeCell ref="O44:P44"/>
    <mergeCell ref="O45:P45"/>
    <mergeCell ref="O46:P48"/>
    <mergeCell ref="Q13:S13"/>
    <mergeCell ref="Q14:S14"/>
    <mergeCell ref="Q15:S15"/>
    <mergeCell ref="Q29:S29"/>
    <mergeCell ref="Q30:S30"/>
    <mergeCell ref="B34:F34"/>
    <mergeCell ref="B35:F35"/>
    <mergeCell ref="J36:J48"/>
    <mergeCell ref="O36:P36"/>
    <mergeCell ref="Q36:S36"/>
    <mergeCell ref="O37:P37"/>
    <mergeCell ref="O38:P38"/>
    <mergeCell ref="O39:P39"/>
    <mergeCell ref="B40:E40"/>
    <mergeCell ref="O40:P42"/>
    <mergeCell ref="Q46:S46"/>
    <mergeCell ref="Q47:S47"/>
    <mergeCell ref="Q48:S48"/>
    <mergeCell ref="B41:E41"/>
    <mergeCell ref="B42:E42"/>
    <mergeCell ref="O43:P43"/>
  </mergeCells>
  <phoneticPr fontId="9"/>
  <conditionalFormatting sqref="B34:I42 J36:U48">
    <cfRule type="expression" dxfId="19" priority="1">
      <formula>IF($E$8="",TRUE)</formula>
    </cfRule>
  </conditionalFormatting>
  <conditionalFormatting sqref="J3:U15 B25:G25 B28:G28 B31:I31">
    <cfRule type="expression" dxfId="18" priority="3">
      <formula>IF($E$6="",TRUE)</formula>
    </cfRule>
  </conditionalFormatting>
  <conditionalFormatting sqref="J19:U31 B26:G26 B29:G29 B32:I32">
    <cfRule type="expression" dxfId="17" priority="2">
      <formula>IF($E$7="",TRUE)</formula>
    </cfRule>
  </conditionalFormatting>
  <pageMargins left="0.7" right="0.7" top="0.75" bottom="0.75" header="0.3" footer="0.3"/>
  <pageSetup paperSize="9" scale="43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2E9DE3E0-3B7B-4205-9AC0-BEC4E6E0A074}">
          <x14:formula1>
            <xm:f>データ!$A$18:$A$22</xm:f>
          </x14:formula1>
          <xm:sqref>D10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3DF59-C8D3-4756-B6BE-CE893E65C378}">
  <sheetPr>
    <tabColor theme="9" tint="0.59999389629810485"/>
  </sheetPr>
  <dimension ref="B1:U50"/>
  <sheetViews>
    <sheetView view="pageBreakPreview" zoomScale="85" zoomScaleNormal="70" zoomScaleSheetLayoutView="85" workbookViewId="0">
      <selection activeCell="L5" sqref="L5"/>
    </sheetView>
  </sheetViews>
  <sheetFormatPr defaultRowHeight="13.5" x14ac:dyDescent="0.15"/>
  <cols>
    <col min="1" max="1" width="6.375" customWidth="1"/>
    <col min="2" max="2" width="10.375" customWidth="1"/>
    <col min="3" max="3" width="11.625" customWidth="1"/>
    <col min="4" max="4" width="11.75" customWidth="1"/>
    <col min="5" max="5" width="11.25" customWidth="1"/>
    <col min="6" max="6" width="11.75" customWidth="1"/>
    <col min="7" max="7" width="7.875" customWidth="1"/>
    <col min="8" max="8" width="6.75" customWidth="1"/>
    <col min="9" max="9" width="9" bestFit="1" customWidth="1"/>
    <col min="10" max="10" width="11.625" customWidth="1"/>
    <col min="11" max="11" width="11.375" bestFit="1" customWidth="1"/>
    <col min="12" max="13" width="10" customWidth="1"/>
    <col min="14" max="14" width="6.375" customWidth="1"/>
    <col min="17" max="17" width="13" customWidth="1"/>
    <col min="18" max="18" width="10.75" customWidth="1"/>
    <col min="19" max="19" width="12.375" customWidth="1"/>
    <col min="20" max="20" width="6.375" customWidth="1"/>
    <col min="21" max="21" width="6" customWidth="1"/>
  </cols>
  <sheetData>
    <row r="1" spans="2:21" ht="15.75" x14ac:dyDescent="0.25">
      <c r="B1" s="8" t="s">
        <v>0</v>
      </c>
      <c r="C1" s="1"/>
      <c r="D1" s="1"/>
      <c r="E1" s="1"/>
      <c r="F1" s="1"/>
    </row>
    <row r="2" spans="2:21" ht="15.75" customHeight="1" x14ac:dyDescent="0.25">
      <c r="B2" s="123" t="s">
        <v>69</v>
      </c>
      <c r="C2" s="123"/>
      <c r="D2" s="123"/>
      <c r="E2" s="19">
        <v>0.15</v>
      </c>
      <c r="F2" s="1" t="s">
        <v>1</v>
      </c>
    </row>
    <row r="3" spans="2:21" ht="15.75" customHeight="1" x14ac:dyDescent="0.25">
      <c r="B3" s="123" t="s">
        <v>53</v>
      </c>
      <c r="C3" s="123"/>
      <c r="D3" s="123"/>
      <c r="E3" s="19"/>
      <c r="F3" s="1" t="s">
        <v>1</v>
      </c>
      <c r="J3" s="159" t="s">
        <v>70</v>
      </c>
      <c r="K3" s="40" t="s">
        <v>41</v>
      </c>
      <c r="L3" s="39"/>
      <c r="M3" s="41"/>
      <c r="O3" s="157" t="s">
        <v>18</v>
      </c>
      <c r="P3" s="157"/>
      <c r="Q3" s="145" t="s">
        <v>19</v>
      </c>
      <c r="R3" s="158"/>
      <c r="S3" s="146"/>
    </row>
    <row r="4" spans="2:21" ht="15.75" customHeight="1" x14ac:dyDescent="0.25">
      <c r="J4" s="159"/>
      <c r="K4" s="30">
        <f>1/E2/E6</f>
        <v>8.3333333333333339</v>
      </c>
      <c r="L4" s="23">
        <v>2</v>
      </c>
      <c r="M4" s="31">
        <f>K4/L4</f>
        <v>4.166666666666667</v>
      </c>
      <c r="O4" s="145" t="s">
        <v>20</v>
      </c>
      <c r="P4" s="146"/>
      <c r="Q4" s="5" t="s">
        <v>27</v>
      </c>
      <c r="R4" s="24">
        <v>80</v>
      </c>
      <c r="S4" s="5" t="s">
        <v>29</v>
      </c>
    </row>
    <row r="5" spans="2:21" ht="15.75" customHeight="1" x14ac:dyDescent="0.25">
      <c r="B5" s="133" t="s">
        <v>2</v>
      </c>
      <c r="C5" s="133"/>
      <c r="D5" s="133"/>
      <c r="E5" s="133"/>
      <c r="F5" s="133"/>
      <c r="J5" s="159"/>
      <c r="K5" s="16"/>
      <c r="L5" s="23">
        <v>22.074000000000002</v>
      </c>
      <c r="M5" s="31">
        <f>L5/K4</f>
        <v>2.6488800000000001</v>
      </c>
      <c r="O5" s="145" t="s">
        <v>21</v>
      </c>
      <c r="P5" s="146"/>
      <c r="Q5" s="5" t="s">
        <v>28</v>
      </c>
      <c r="R5" s="24">
        <v>200</v>
      </c>
      <c r="S5" s="5"/>
    </row>
    <row r="6" spans="2:21" ht="15.75" customHeight="1" x14ac:dyDescent="0.25">
      <c r="B6" s="123" t="s">
        <v>72</v>
      </c>
      <c r="C6" s="123"/>
      <c r="D6" s="123"/>
      <c r="E6" s="19">
        <v>0.8</v>
      </c>
      <c r="F6" s="1" t="s">
        <v>3</v>
      </c>
      <c r="J6" s="159"/>
      <c r="K6" s="17" t="s">
        <v>42</v>
      </c>
      <c r="L6" s="1"/>
      <c r="M6" s="13"/>
      <c r="O6" s="145" t="s">
        <v>25</v>
      </c>
      <c r="P6" s="146"/>
      <c r="Q6" s="5" t="s">
        <v>71</v>
      </c>
      <c r="R6" s="32">
        <f>E2*1000</f>
        <v>150</v>
      </c>
      <c r="S6" s="5" t="s">
        <v>34</v>
      </c>
      <c r="T6" s="101" t="s">
        <v>152</v>
      </c>
    </row>
    <row r="7" spans="2:21" ht="15.75" customHeight="1" x14ac:dyDescent="0.25">
      <c r="B7" s="123" t="s">
        <v>63</v>
      </c>
      <c r="C7" s="123"/>
      <c r="D7" s="123"/>
      <c r="E7" s="19"/>
      <c r="F7" s="1" t="s">
        <v>3</v>
      </c>
      <c r="J7" s="159"/>
      <c r="K7" s="30">
        <f>2/E2/E6</f>
        <v>16.666666666666668</v>
      </c>
      <c r="L7" s="30">
        <f>L4</f>
        <v>2</v>
      </c>
      <c r="M7" s="31">
        <f>K7/L7</f>
        <v>8.3333333333333339</v>
      </c>
      <c r="O7" s="147" t="s">
        <v>22</v>
      </c>
      <c r="P7" s="148"/>
      <c r="Q7" s="5" t="s">
        <v>30</v>
      </c>
      <c r="R7" s="32">
        <f>E6*1000</f>
        <v>800</v>
      </c>
      <c r="S7" s="5" t="s">
        <v>35</v>
      </c>
      <c r="T7" s="100" t="s">
        <v>147</v>
      </c>
      <c r="U7" s="104"/>
    </row>
    <row r="8" spans="2:21" ht="15.75" customHeight="1" x14ac:dyDescent="0.25">
      <c r="B8" s="123" t="s">
        <v>54</v>
      </c>
      <c r="C8" s="123"/>
      <c r="D8" s="123"/>
      <c r="E8" s="19"/>
      <c r="F8" s="1" t="s">
        <v>3</v>
      </c>
      <c r="J8" s="159"/>
      <c r="K8" s="16"/>
      <c r="L8" s="30">
        <f>L5</f>
        <v>22.074000000000002</v>
      </c>
      <c r="M8" s="31">
        <f>M5</f>
        <v>2.6488800000000001</v>
      </c>
      <c r="O8" s="149"/>
      <c r="P8" s="150"/>
      <c r="Q8" s="5" t="s">
        <v>31</v>
      </c>
      <c r="R8" s="33">
        <f>E10-R23</f>
        <v>0</v>
      </c>
      <c r="S8" s="5" t="s">
        <v>35</v>
      </c>
      <c r="T8" s="100" t="s">
        <v>148</v>
      </c>
      <c r="U8" s="104"/>
    </row>
    <row r="9" spans="2:21" ht="15.75" customHeight="1" x14ac:dyDescent="0.25">
      <c r="B9" s="9"/>
      <c r="C9" s="9"/>
      <c r="D9" s="9"/>
      <c r="E9" s="4"/>
      <c r="F9" s="1"/>
      <c r="J9" s="159"/>
      <c r="K9" s="17" t="s">
        <v>43</v>
      </c>
      <c r="L9" s="1"/>
      <c r="M9" s="13"/>
      <c r="O9" s="151"/>
      <c r="P9" s="152"/>
      <c r="Q9" s="5" t="s">
        <v>32</v>
      </c>
      <c r="R9" s="33">
        <f>E10-R23-R7</f>
        <v>-800</v>
      </c>
      <c r="S9" s="5" t="s">
        <v>35</v>
      </c>
      <c r="T9" s="100" t="s">
        <v>149</v>
      </c>
      <c r="U9" s="104"/>
    </row>
    <row r="10" spans="2:21" ht="15.75" customHeight="1" x14ac:dyDescent="0.25">
      <c r="B10" s="11" t="s">
        <v>62</v>
      </c>
      <c r="C10" s="11"/>
      <c r="D10" s="11"/>
      <c r="E10" s="20"/>
      <c r="F10" s="1" t="s">
        <v>35</v>
      </c>
      <c r="J10" s="159"/>
      <c r="K10" s="30">
        <f>3/E2/E6</f>
        <v>25</v>
      </c>
      <c r="L10" s="30">
        <f>L4</f>
        <v>2</v>
      </c>
      <c r="M10" s="31">
        <f>K10/L10</f>
        <v>12.5</v>
      </c>
      <c r="O10" s="145" t="s">
        <v>23</v>
      </c>
      <c r="P10" s="146"/>
      <c r="Q10" s="5" t="s">
        <v>33</v>
      </c>
      <c r="R10" s="33">
        <f>ROUNDUP(F25,0)</f>
        <v>97</v>
      </c>
      <c r="S10" s="5" t="s">
        <v>36</v>
      </c>
      <c r="T10" s="100" t="s">
        <v>150</v>
      </c>
      <c r="U10" s="104"/>
    </row>
    <row r="11" spans="2:21" ht="15.75" customHeight="1" x14ac:dyDescent="0.25">
      <c r="B11" s="9"/>
      <c r="C11" s="9"/>
      <c r="D11" s="9"/>
      <c r="E11" s="4"/>
      <c r="F11" s="1"/>
      <c r="J11" s="159"/>
      <c r="K11" s="16"/>
      <c r="L11" s="30">
        <f>L5</f>
        <v>22.074000000000002</v>
      </c>
      <c r="M11" s="31">
        <f>M5</f>
        <v>2.6488800000000001</v>
      </c>
      <c r="O11" s="145" t="s">
        <v>24</v>
      </c>
      <c r="P11" s="146"/>
      <c r="Q11" s="5" t="s">
        <v>33</v>
      </c>
      <c r="R11" s="33">
        <f>ROUNDUP(F28,0)</f>
        <v>78</v>
      </c>
      <c r="S11" s="5" t="s">
        <v>37</v>
      </c>
      <c r="T11" s="100" t="s">
        <v>151</v>
      </c>
      <c r="U11" s="104"/>
    </row>
    <row r="12" spans="2:21" ht="15.75" customHeight="1" x14ac:dyDescent="0.25">
      <c r="B12" s="133" t="s">
        <v>16</v>
      </c>
      <c r="C12" s="133"/>
      <c r="D12" s="133"/>
      <c r="E12" s="133"/>
      <c r="F12" s="133"/>
      <c r="J12" s="159"/>
      <c r="K12" s="17" t="s">
        <v>44</v>
      </c>
      <c r="L12" s="1"/>
      <c r="M12" s="13"/>
      <c r="O12" s="145" t="s">
        <v>26</v>
      </c>
      <c r="P12" s="146"/>
      <c r="Q12" s="5" t="s">
        <v>33</v>
      </c>
      <c r="R12" s="24"/>
      <c r="S12" s="5" t="s">
        <v>38</v>
      </c>
    </row>
    <row r="13" spans="2:21" ht="15.75" customHeight="1" x14ac:dyDescent="0.25">
      <c r="B13" s="134" t="s">
        <v>145</v>
      </c>
      <c r="C13" s="134"/>
      <c r="D13" s="134"/>
      <c r="E13" s="134"/>
      <c r="F13" s="134"/>
      <c r="J13" s="159"/>
      <c r="K13" s="30">
        <f>4/E2/E6</f>
        <v>33.333333333333336</v>
      </c>
      <c r="L13" s="30">
        <f>L4</f>
        <v>2</v>
      </c>
      <c r="M13" s="31">
        <f>K13/L13</f>
        <v>16.666666666666668</v>
      </c>
      <c r="O13" s="147"/>
      <c r="P13" s="148"/>
      <c r="Q13" s="120" t="s">
        <v>40</v>
      </c>
      <c r="R13" s="121"/>
      <c r="S13" s="122"/>
      <c r="T13" s="103" t="s">
        <v>153</v>
      </c>
      <c r="U13" s="102">
        <f>SUM(LEFT(T7,1)*U7,LEFT(T8,1)*U8,LEFT(T9,1)*U9,LEFT(T10,1)*U10,LEFT(T11,1)*U11)</f>
        <v>0</v>
      </c>
    </row>
    <row r="14" spans="2:21" ht="15.75" customHeight="1" x14ac:dyDescent="0.25">
      <c r="B14" s="26" t="s">
        <v>7</v>
      </c>
      <c r="C14" s="26" t="s">
        <v>8</v>
      </c>
      <c r="D14" s="26" t="s">
        <v>9</v>
      </c>
      <c r="E14" s="26" t="s">
        <v>10</v>
      </c>
      <c r="F14" s="27" t="s">
        <v>11</v>
      </c>
      <c r="J14" s="159"/>
      <c r="K14" s="16"/>
      <c r="L14" s="30">
        <f>L5</f>
        <v>22.074000000000002</v>
      </c>
      <c r="M14" s="31">
        <f>M5</f>
        <v>2.6488800000000001</v>
      </c>
      <c r="O14" s="149"/>
      <c r="P14" s="150"/>
      <c r="Q14" s="120" t="s">
        <v>39</v>
      </c>
      <c r="R14" s="121"/>
      <c r="S14" s="122"/>
      <c r="T14" s="105" t="s">
        <v>154</v>
      </c>
      <c r="U14">
        <f>I31-U13</f>
        <v>12</v>
      </c>
    </row>
    <row r="15" spans="2:21" ht="15.75" customHeight="1" x14ac:dyDescent="0.25">
      <c r="B15" s="26">
        <v>1</v>
      </c>
      <c r="C15" s="21">
        <v>1</v>
      </c>
      <c r="D15" s="22">
        <v>1</v>
      </c>
      <c r="E15" s="22">
        <v>96.924000000000007</v>
      </c>
      <c r="F15" s="28">
        <f>IF(C15="","",C15*D15*E15)</f>
        <v>96.924000000000007</v>
      </c>
      <c r="J15" s="159"/>
      <c r="K15" s="18"/>
      <c r="L15" s="10"/>
      <c r="M15" s="14"/>
      <c r="O15" s="151"/>
      <c r="P15" s="152"/>
      <c r="Q15" s="120" t="s">
        <v>46</v>
      </c>
      <c r="R15" s="121"/>
      <c r="S15" s="122"/>
    </row>
    <row r="16" spans="2:21" ht="15.75" customHeight="1" x14ac:dyDescent="0.15">
      <c r="B16" s="26">
        <v>2</v>
      </c>
      <c r="C16" s="21"/>
      <c r="D16" s="22">
        <v>1</v>
      </c>
      <c r="E16" s="22"/>
      <c r="F16" s="28" t="str">
        <f>IF(C16="","",C16*D16*E16)</f>
        <v/>
      </c>
      <c r="H16" s="7"/>
    </row>
    <row r="17" spans="2:21" ht="15.75" customHeight="1" x14ac:dyDescent="0.15">
      <c r="F17" s="28">
        <f>SUM(F15:F16)</f>
        <v>96.924000000000007</v>
      </c>
    </row>
    <row r="18" spans="2:21" ht="15.75" customHeight="1" x14ac:dyDescent="0.15"/>
    <row r="19" spans="2:21" ht="15.75" customHeight="1" x14ac:dyDescent="0.25">
      <c r="B19" s="134" t="s">
        <v>146</v>
      </c>
      <c r="C19" s="134"/>
      <c r="D19" s="134"/>
      <c r="E19" s="134"/>
      <c r="F19" s="134"/>
      <c r="J19" s="154" t="s">
        <v>47</v>
      </c>
      <c r="K19" s="43" t="s">
        <v>41</v>
      </c>
      <c r="L19" s="42"/>
      <c r="M19" s="44"/>
      <c r="O19" s="125" t="s">
        <v>18</v>
      </c>
      <c r="P19" s="126"/>
      <c r="Q19" s="125" t="s">
        <v>64</v>
      </c>
      <c r="R19" s="153"/>
      <c r="S19" s="126"/>
    </row>
    <row r="20" spans="2:21" ht="15.75" customHeight="1" x14ac:dyDescent="0.25">
      <c r="B20" s="26" t="s">
        <v>7</v>
      </c>
      <c r="C20" s="26" t="s">
        <v>8</v>
      </c>
      <c r="D20" s="26" t="s">
        <v>9</v>
      </c>
      <c r="E20" s="26" t="s">
        <v>10</v>
      </c>
      <c r="F20" s="27" t="s">
        <v>11</v>
      </c>
      <c r="J20" s="155"/>
      <c r="K20" s="30" t="e">
        <f>1/E3/E7</f>
        <v>#DIV/0!</v>
      </c>
      <c r="L20" s="23">
        <v>5.51</v>
      </c>
      <c r="M20" s="31" t="e">
        <f>K20/L20</f>
        <v>#DIV/0!</v>
      </c>
      <c r="O20" s="125" t="s">
        <v>20</v>
      </c>
      <c r="P20" s="126"/>
      <c r="Q20" s="5" t="s">
        <v>27</v>
      </c>
      <c r="R20" s="32">
        <f>R4</f>
        <v>80</v>
      </c>
      <c r="S20" s="5" t="s">
        <v>29</v>
      </c>
    </row>
    <row r="21" spans="2:21" ht="15.75" customHeight="1" x14ac:dyDescent="0.25">
      <c r="B21" s="26">
        <v>1</v>
      </c>
      <c r="C21" s="21"/>
      <c r="D21" s="22">
        <v>1</v>
      </c>
      <c r="E21" s="22"/>
      <c r="F21" s="28" t="str">
        <f>IF(C21="","",C21*D21*E21)</f>
        <v/>
      </c>
      <c r="J21" s="155"/>
      <c r="K21" s="16"/>
      <c r="L21" s="23">
        <v>9.6389999999999993</v>
      </c>
      <c r="M21" s="31" t="e">
        <f>L21/K20</f>
        <v>#DIV/0!</v>
      </c>
      <c r="O21" s="125" t="s">
        <v>21</v>
      </c>
      <c r="P21" s="126"/>
      <c r="Q21" s="5" t="s">
        <v>28</v>
      </c>
      <c r="R21" s="32">
        <f>R5</f>
        <v>200</v>
      </c>
      <c r="S21" s="5"/>
    </row>
    <row r="22" spans="2:21" ht="15.75" customHeight="1" x14ac:dyDescent="0.25">
      <c r="B22" s="26">
        <v>2</v>
      </c>
      <c r="C22" s="21"/>
      <c r="D22" s="22">
        <v>1</v>
      </c>
      <c r="E22" s="22"/>
      <c r="F22" s="28" t="str">
        <f t="shared" ref="F22" si="0">IF(C22="","",C22*D22*E22)</f>
        <v/>
      </c>
      <c r="J22" s="155"/>
      <c r="K22" s="17" t="s">
        <v>42</v>
      </c>
      <c r="L22" s="1"/>
      <c r="M22" s="13"/>
      <c r="O22" s="125" t="s">
        <v>25</v>
      </c>
      <c r="P22" s="126"/>
      <c r="Q22" s="5" t="s">
        <v>67</v>
      </c>
      <c r="R22" s="32">
        <f>E3*1000</f>
        <v>0</v>
      </c>
      <c r="S22" s="5" t="s">
        <v>34</v>
      </c>
      <c r="T22" s="101" t="s">
        <v>152</v>
      </c>
    </row>
    <row r="23" spans="2:21" ht="15.75" customHeight="1" x14ac:dyDescent="0.25">
      <c r="F23" s="28">
        <f>SUM(F21:F22)</f>
        <v>0</v>
      </c>
      <c r="J23" s="155"/>
      <c r="K23" s="30" t="e">
        <f>2/E3/E7</f>
        <v>#DIV/0!</v>
      </c>
      <c r="L23" s="30">
        <f>L20</f>
        <v>5.51</v>
      </c>
      <c r="M23" s="31" t="e">
        <f>K23/L23</f>
        <v>#DIV/0!</v>
      </c>
      <c r="O23" s="127" t="s">
        <v>22</v>
      </c>
      <c r="P23" s="128"/>
      <c r="Q23" s="5" t="s">
        <v>30</v>
      </c>
      <c r="R23" s="32">
        <f>E7*1000</f>
        <v>0</v>
      </c>
      <c r="S23" s="5" t="s">
        <v>35</v>
      </c>
      <c r="T23" s="100" t="s">
        <v>147</v>
      </c>
      <c r="U23" s="104"/>
    </row>
    <row r="24" spans="2:21" ht="15.75" customHeight="1" x14ac:dyDescent="0.25">
      <c r="B24" s="123"/>
      <c r="C24" s="123"/>
      <c r="D24" s="123"/>
      <c r="E24" s="7"/>
      <c r="F24" s="10"/>
      <c r="J24" s="155"/>
      <c r="K24" s="16"/>
      <c r="L24" s="30">
        <f>L21</f>
        <v>9.6389999999999993</v>
      </c>
      <c r="M24" s="31" t="e">
        <f>M21</f>
        <v>#DIV/0!</v>
      </c>
      <c r="O24" s="129"/>
      <c r="P24" s="130"/>
      <c r="Q24" s="5" t="s">
        <v>31</v>
      </c>
      <c r="R24" s="33">
        <f>E10</f>
        <v>0</v>
      </c>
      <c r="S24" s="5" t="s">
        <v>35</v>
      </c>
      <c r="T24" s="100" t="s">
        <v>148</v>
      </c>
      <c r="U24" s="104"/>
    </row>
    <row r="25" spans="2:21" ht="15.75" customHeight="1" x14ac:dyDescent="0.35">
      <c r="B25" s="123" t="s">
        <v>73</v>
      </c>
      <c r="C25" s="123"/>
      <c r="D25" s="123"/>
      <c r="E25" s="123"/>
      <c r="F25" s="29">
        <f>F17</f>
        <v>96.924000000000007</v>
      </c>
      <c r="G25" s="2" t="s">
        <v>4</v>
      </c>
      <c r="J25" s="155"/>
      <c r="K25" s="17" t="s">
        <v>43</v>
      </c>
      <c r="L25" s="1"/>
      <c r="M25" s="13"/>
      <c r="O25" s="131"/>
      <c r="P25" s="132"/>
      <c r="Q25" s="5" t="s">
        <v>32</v>
      </c>
      <c r="R25" s="33">
        <f>E10-R23</f>
        <v>0</v>
      </c>
      <c r="S25" s="5" t="s">
        <v>35</v>
      </c>
      <c r="T25" s="100" t="s">
        <v>149</v>
      </c>
      <c r="U25" s="104"/>
    </row>
    <row r="26" spans="2:21" ht="15.75" customHeight="1" x14ac:dyDescent="0.35">
      <c r="B26" s="123" t="s">
        <v>6</v>
      </c>
      <c r="C26" s="123"/>
      <c r="D26" s="123"/>
      <c r="E26" s="123"/>
      <c r="F26" s="29">
        <f>F23</f>
        <v>0</v>
      </c>
      <c r="G26" s="2" t="s">
        <v>4</v>
      </c>
      <c r="J26" s="155"/>
      <c r="K26" s="30" t="e">
        <f>3/E3/E7</f>
        <v>#DIV/0!</v>
      </c>
      <c r="L26" s="30">
        <f>L20</f>
        <v>5.51</v>
      </c>
      <c r="M26" s="31" t="e">
        <f>K26/L26</f>
        <v>#DIV/0!</v>
      </c>
      <c r="O26" s="125" t="s">
        <v>23</v>
      </c>
      <c r="P26" s="126"/>
      <c r="Q26" s="5" t="s">
        <v>68</v>
      </c>
      <c r="R26" s="34">
        <f>ROUNDUP(F26,0)</f>
        <v>0</v>
      </c>
      <c r="S26" s="5" t="s">
        <v>36</v>
      </c>
      <c r="T26" s="100" t="s">
        <v>150</v>
      </c>
      <c r="U26" s="104"/>
    </row>
    <row r="27" spans="2:21" ht="15.75" customHeight="1" x14ac:dyDescent="0.25">
      <c r="B27" s="133" t="s">
        <v>48</v>
      </c>
      <c r="C27" s="133"/>
      <c r="D27" s="133"/>
      <c r="E27" s="133"/>
      <c r="F27" s="133"/>
      <c r="J27" s="155"/>
      <c r="K27" s="16"/>
      <c r="L27" s="30">
        <f>L21</f>
        <v>9.6389999999999993</v>
      </c>
      <c r="M27" s="31" t="e">
        <f>M21</f>
        <v>#DIV/0!</v>
      </c>
      <c r="O27" s="125" t="s">
        <v>24</v>
      </c>
      <c r="P27" s="126"/>
      <c r="Q27" s="5" t="s">
        <v>68</v>
      </c>
      <c r="R27" s="34">
        <f>ROUNDUP(F29,0)</f>
        <v>0</v>
      </c>
      <c r="S27" s="5" t="s">
        <v>37</v>
      </c>
      <c r="T27" s="100" t="s">
        <v>151</v>
      </c>
      <c r="U27" s="104"/>
    </row>
    <row r="28" spans="2:21" ht="15.75" customHeight="1" x14ac:dyDescent="0.35">
      <c r="B28" s="123" t="s">
        <v>74</v>
      </c>
      <c r="C28" s="123"/>
      <c r="D28" s="123"/>
      <c r="E28" s="124"/>
      <c r="F28" s="29">
        <f>PRODUCT(F25,E6)</f>
        <v>77.539200000000008</v>
      </c>
      <c r="G28" s="2" t="s">
        <v>12</v>
      </c>
      <c r="J28" s="155"/>
      <c r="K28" s="17" t="s">
        <v>44</v>
      </c>
      <c r="L28" s="1"/>
      <c r="M28" s="13"/>
      <c r="O28" s="125" t="s">
        <v>26</v>
      </c>
      <c r="P28" s="126"/>
      <c r="Q28" s="5" t="s">
        <v>68</v>
      </c>
      <c r="R28" s="24"/>
      <c r="S28" s="5" t="s">
        <v>38</v>
      </c>
    </row>
    <row r="29" spans="2:21" ht="15.75" customHeight="1" x14ac:dyDescent="0.4">
      <c r="B29" s="123" t="s">
        <v>14</v>
      </c>
      <c r="C29" s="123"/>
      <c r="D29" s="123"/>
      <c r="E29" s="123"/>
      <c r="F29" s="29">
        <f>PRODUCT(F26,E7)</f>
        <v>0</v>
      </c>
      <c r="G29" s="2" t="s">
        <v>12</v>
      </c>
      <c r="J29" s="155"/>
      <c r="K29" s="30" t="e">
        <f>4/E3/E7</f>
        <v>#DIV/0!</v>
      </c>
      <c r="L29" s="30">
        <f>L20</f>
        <v>5.51</v>
      </c>
      <c r="M29" s="31" t="e">
        <f>K29/L29</f>
        <v>#DIV/0!</v>
      </c>
      <c r="O29" s="127"/>
      <c r="P29" s="128"/>
      <c r="Q29" s="120" t="s">
        <v>45</v>
      </c>
      <c r="R29" s="121"/>
      <c r="S29" s="122"/>
      <c r="T29" s="103" t="s">
        <v>153</v>
      </c>
      <c r="U29" s="102">
        <f>SUM(LEFT(T23,1)*U23,LEFT(T24,1)*U24,LEFT(T25,1)*U25,LEFT(T26,1)*U26,LEFT(T27,1)*U27)</f>
        <v>0</v>
      </c>
    </row>
    <row r="30" spans="2:21" ht="15.75" customHeight="1" x14ac:dyDescent="0.25">
      <c r="B30" s="133" t="s">
        <v>49</v>
      </c>
      <c r="C30" s="133"/>
      <c r="D30" s="133"/>
      <c r="E30" s="133"/>
      <c r="F30" s="133"/>
      <c r="J30" s="155"/>
      <c r="K30" s="16"/>
      <c r="L30" s="30">
        <f>L21</f>
        <v>9.6389999999999993</v>
      </c>
      <c r="M30" s="31" t="e">
        <f>M21</f>
        <v>#DIV/0!</v>
      </c>
      <c r="O30" s="129"/>
      <c r="P30" s="130"/>
      <c r="Q30" s="120" t="s">
        <v>39</v>
      </c>
      <c r="R30" s="121"/>
      <c r="S30" s="122"/>
      <c r="T30" s="105" t="s">
        <v>154</v>
      </c>
      <c r="U30">
        <f>I32-U29</f>
        <v>0</v>
      </c>
    </row>
    <row r="31" spans="2:21" ht="15.75" customHeight="1" x14ac:dyDescent="0.35">
      <c r="B31" s="123" t="s">
        <v>75</v>
      </c>
      <c r="C31" s="123"/>
      <c r="D31" s="123"/>
      <c r="E31" s="123"/>
      <c r="F31" s="29">
        <f>PRODUCT(F28,E2)</f>
        <v>11.630880000000001</v>
      </c>
      <c r="G31" s="1" t="s">
        <v>13</v>
      </c>
      <c r="H31" s="3" t="s">
        <v>17</v>
      </c>
      <c r="I31" s="15">
        <f>ROUNDUP(F31+F31*2%,0)</f>
        <v>12</v>
      </c>
      <c r="J31" s="156"/>
      <c r="K31" s="18"/>
      <c r="L31" s="10"/>
      <c r="M31" s="14"/>
      <c r="O31" s="131"/>
      <c r="P31" s="132"/>
      <c r="Q31" s="120" t="s">
        <v>46</v>
      </c>
      <c r="R31" s="121"/>
      <c r="S31" s="122"/>
    </row>
    <row r="32" spans="2:21" ht="15.75" customHeight="1" x14ac:dyDescent="0.35">
      <c r="B32" s="123" t="s">
        <v>15</v>
      </c>
      <c r="C32" s="123"/>
      <c r="D32" s="123"/>
      <c r="E32" s="123"/>
      <c r="F32" s="29">
        <f>PRODUCT(F29,E3)</f>
        <v>0</v>
      </c>
      <c r="G32" s="1" t="s">
        <v>13</v>
      </c>
      <c r="H32" s="3" t="s">
        <v>17</v>
      </c>
      <c r="I32" s="15">
        <f>ROUNDUP(F32+F32*2%,0)</f>
        <v>0</v>
      </c>
    </row>
    <row r="33" spans="2:21" ht="15.75" customHeight="1" x14ac:dyDescent="0.15"/>
    <row r="34" spans="2:21" ht="15.75" customHeight="1" x14ac:dyDescent="0.25">
      <c r="B34" s="133" t="s">
        <v>51</v>
      </c>
      <c r="C34" s="133"/>
      <c r="D34" s="133"/>
      <c r="E34" s="133"/>
      <c r="F34" s="133"/>
    </row>
    <row r="35" spans="2:21" ht="15.75" customHeight="1" x14ac:dyDescent="0.25">
      <c r="B35" s="134" t="s">
        <v>50</v>
      </c>
      <c r="C35" s="134"/>
      <c r="D35" s="134"/>
      <c r="E35" s="134"/>
      <c r="F35" s="134"/>
    </row>
    <row r="36" spans="2:21" ht="15.75" customHeight="1" x14ac:dyDescent="0.25">
      <c r="B36" s="26" t="s">
        <v>7</v>
      </c>
      <c r="C36" s="26" t="s">
        <v>8</v>
      </c>
      <c r="D36" s="26" t="s">
        <v>9</v>
      </c>
      <c r="E36" s="26" t="s">
        <v>10</v>
      </c>
      <c r="F36" s="27" t="s">
        <v>11</v>
      </c>
      <c r="J36" s="142" t="s">
        <v>61</v>
      </c>
      <c r="K36" s="45" t="s">
        <v>41</v>
      </c>
      <c r="L36" s="46"/>
      <c r="M36" s="47"/>
      <c r="O36" s="118" t="s">
        <v>18</v>
      </c>
      <c r="P36" s="119"/>
      <c r="Q36" s="118" t="s">
        <v>65</v>
      </c>
      <c r="R36" s="141"/>
      <c r="S36" s="119"/>
    </row>
    <row r="37" spans="2:21" ht="15.75" customHeight="1" x14ac:dyDescent="0.25">
      <c r="B37" s="26">
        <v>1</v>
      </c>
      <c r="C37" s="21"/>
      <c r="D37" s="22"/>
      <c r="E37" s="22"/>
      <c r="F37" s="28" t="str">
        <f t="shared" ref="F37:F38" si="1">IF(C37="","",C37*D37*E37)</f>
        <v/>
      </c>
      <c r="J37" s="143"/>
      <c r="K37" s="30" t="e">
        <f>1/E3/E8</f>
        <v>#DIV/0!</v>
      </c>
      <c r="L37" s="23">
        <v>5.51</v>
      </c>
      <c r="M37" s="31" t="e">
        <f>K37/L37</f>
        <v>#DIV/0!</v>
      </c>
      <c r="O37" s="118" t="s">
        <v>20</v>
      </c>
      <c r="P37" s="119"/>
      <c r="Q37" s="5" t="s">
        <v>27</v>
      </c>
      <c r="R37" s="35">
        <f>R21</f>
        <v>200</v>
      </c>
      <c r="S37" s="5" t="s">
        <v>29</v>
      </c>
    </row>
    <row r="38" spans="2:21" ht="15.75" customHeight="1" x14ac:dyDescent="0.25">
      <c r="B38" s="26">
        <v>2</v>
      </c>
      <c r="C38" s="21"/>
      <c r="D38" s="22"/>
      <c r="E38" s="22"/>
      <c r="F38" s="28" t="str">
        <f t="shared" si="1"/>
        <v/>
      </c>
      <c r="J38" s="143"/>
      <c r="K38" s="16"/>
      <c r="L38" s="23">
        <v>9.6389999999999993</v>
      </c>
      <c r="M38" s="31" t="e">
        <f>L38/K37</f>
        <v>#DIV/0!</v>
      </c>
      <c r="O38" s="118" t="s">
        <v>21</v>
      </c>
      <c r="P38" s="119"/>
      <c r="Q38" s="5" t="s">
        <v>28</v>
      </c>
      <c r="R38" s="35">
        <f>R22</f>
        <v>0</v>
      </c>
      <c r="S38" s="5"/>
    </row>
    <row r="39" spans="2:21" ht="15.75" customHeight="1" x14ac:dyDescent="0.25">
      <c r="F39" s="28">
        <f>SUM(F37:F38)</f>
        <v>0</v>
      </c>
      <c r="J39" s="143"/>
      <c r="K39" s="17" t="s">
        <v>42</v>
      </c>
      <c r="L39" s="1"/>
      <c r="M39" s="13"/>
      <c r="O39" s="118" t="s">
        <v>25</v>
      </c>
      <c r="P39" s="119"/>
      <c r="Q39" s="5"/>
      <c r="R39" s="36" t="s">
        <v>66</v>
      </c>
      <c r="S39" s="5" t="s">
        <v>34</v>
      </c>
      <c r="T39" s="101" t="s">
        <v>152</v>
      </c>
    </row>
    <row r="40" spans="2:21" ht="18" x14ac:dyDescent="0.25">
      <c r="B40" s="123" t="s">
        <v>58</v>
      </c>
      <c r="C40" s="123"/>
      <c r="D40" s="123"/>
      <c r="E40" s="123"/>
      <c r="F40" s="29">
        <f>F39</f>
        <v>0</v>
      </c>
      <c r="G40" s="2" t="s">
        <v>4</v>
      </c>
      <c r="J40" s="143"/>
      <c r="K40" s="30" t="e">
        <f>2/E3/E8</f>
        <v>#DIV/0!</v>
      </c>
      <c r="L40" s="30">
        <f>L37</f>
        <v>5.51</v>
      </c>
      <c r="M40" s="31" t="e">
        <f>K40/L40</f>
        <v>#DIV/0!</v>
      </c>
      <c r="O40" s="135" t="s">
        <v>22</v>
      </c>
      <c r="P40" s="136"/>
      <c r="Q40" s="5"/>
      <c r="R40" s="35" t="s">
        <v>66</v>
      </c>
      <c r="S40" s="5" t="s">
        <v>35</v>
      </c>
      <c r="T40" s="100" t="s">
        <v>147</v>
      </c>
      <c r="U40" s="104"/>
    </row>
    <row r="41" spans="2:21" ht="18" x14ac:dyDescent="0.25">
      <c r="B41" s="123" t="s">
        <v>59</v>
      </c>
      <c r="C41" s="123"/>
      <c r="D41" s="123"/>
      <c r="E41" s="123"/>
      <c r="F41" s="29">
        <f>PRODUCT(F40,E8)</f>
        <v>0</v>
      </c>
      <c r="G41" s="2" t="s">
        <v>12</v>
      </c>
      <c r="H41" s="3"/>
      <c r="J41" s="143"/>
      <c r="K41" s="16"/>
      <c r="L41" s="30">
        <f>L38</f>
        <v>9.6389999999999993</v>
      </c>
      <c r="M41" s="31" t="e">
        <f>M38</f>
        <v>#DIV/0!</v>
      </c>
      <c r="O41" s="137"/>
      <c r="P41" s="138"/>
      <c r="Q41" s="5" t="s">
        <v>31</v>
      </c>
      <c r="R41" s="37" t="s">
        <v>66</v>
      </c>
      <c r="S41" s="5" t="s">
        <v>35</v>
      </c>
      <c r="T41" s="100" t="s">
        <v>148</v>
      </c>
      <c r="U41" s="104"/>
    </row>
    <row r="42" spans="2:21" ht="18.75" x14ac:dyDescent="0.25">
      <c r="B42" s="123" t="s">
        <v>60</v>
      </c>
      <c r="C42" s="123"/>
      <c r="D42" s="123"/>
      <c r="E42" s="123"/>
      <c r="F42" s="29">
        <f>F41*E3</f>
        <v>0</v>
      </c>
      <c r="G42" s="1" t="s">
        <v>13</v>
      </c>
      <c r="H42" s="3" t="s">
        <v>17</v>
      </c>
      <c r="I42" s="6">
        <f>ROUNDUP(F42+F42*2%,0)</f>
        <v>0</v>
      </c>
      <c r="J42" s="143"/>
      <c r="K42" s="17" t="s">
        <v>43</v>
      </c>
      <c r="L42" s="1"/>
      <c r="M42" s="13"/>
      <c r="O42" s="139"/>
      <c r="P42" s="140"/>
      <c r="Q42" s="5" t="s">
        <v>32</v>
      </c>
      <c r="R42" s="37" t="s">
        <v>66</v>
      </c>
      <c r="S42" s="5" t="s">
        <v>35</v>
      </c>
      <c r="T42" s="100" t="s">
        <v>149</v>
      </c>
      <c r="U42" s="104"/>
    </row>
    <row r="43" spans="2:21" ht="15.75" x14ac:dyDescent="0.25">
      <c r="J43" s="143"/>
      <c r="K43" s="30" t="e">
        <f>3/E3/E8</f>
        <v>#DIV/0!</v>
      </c>
      <c r="L43" s="30">
        <f>L37</f>
        <v>5.51</v>
      </c>
      <c r="M43" s="31" t="e">
        <f>K43/L43</f>
        <v>#DIV/0!</v>
      </c>
      <c r="O43" s="118" t="s">
        <v>23</v>
      </c>
      <c r="P43" s="119"/>
      <c r="Q43" s="5"/>
      <c r="R43" s="38">
        <f>ROUNDUP(F40,0)</f>
        <v>0</v>
      </c>
      <c r="S43" s="5" t="s">
        <v>36</v>
      </c>
      <c r="T43" s="100" t="s">
        <v>150</v>
      </c>
      <c r="U43" s="104"/>
    </row>
    <row r="44" spans="2:21" ht="15.75" x14ac:dyDescent="0.25">
      <c r="J44" s="143"/>
      <c r="K44" s="16"/>
      <c r="L44" s="30">
        <f>L38</f>
        <v>9.6389999999999993</v>
      </c>
      <c r="M44" s="31" t="e">
        <f>M38</f>
        <v>#DIV/0!</v>
      </c>
      <c r="O44" s="118" t="s">
        <v>24</v>
      </c>
      <c r="P44" s="119"/>
      <c r="Q44" s="5"/>
      <c r="R44" s="38">
        <f>ROUNDUP(F41,0)</f>
        <v>0</v>
      </c>
      <c r="S44" s="5" t="s">
        <v>37</v>
      </c>
      <c r="T44" s="100" t="s">
        <v>151</v>
      </c>
      <c r="U44" s="104"/>
    </row>
    <row r="45" spans="2:21" ht="18.75" x14ac:dyDescent="0.25">
      <c r="J45" s="143"/>
      <c r="K45" s="17" t="s">
        <v>44</v>
      </c>
      <c r="L45" s="1"/>
      <c r="M45" s="13"/>
      <c r="O45" s="118" t="s">
        <v>26</v>
      </c>
      <c r="P45" s="119"/>
      <c r="Q45" s="5"/>
      <c r="R45" s="25"/>
      <c r="S45" s="5" t="s">
        <v>38</v>
      </c>
    </row>
    <row r="46" spans="2:21" ht="15.75" x14ac:dyDescent="0.25">
      <c r="J46" s="143"/>
      <c r="K46" s="30" t="e">
        <f>4/E3/E8</f>
        <v>#DIV/0!</v>
      </c>
      <c r="L46" s="30">
        <f>L37</f>
        <v>5.51</v>
      </c>
      <c r="M46" s="31" t="e">
        <f>K46/L46</f>
        <v>#DIV/0!</v>
      </c>
      <c r="O46" s="135"/>
      <c r="P46" s="136"/>
      <c r="Q46" s="120"/>
      <c r="R46" s="121"/>
      <c r="S46" s="122"/>
      <c r="T46" s="103" t="s">
        <v>153</v>
      </c>
      <c r="U46" s="102">
        <f>SUM(LEFT(T40,1)*U40,LEFT(T41,1)*U41,LEFT(T42,1)*U42,LEFT(T43,1)*U43,LEFT(T44,1)*U44)</f>
        <v>0</v>
      </c>
    </row>
    <row r="47" spans="2:21" ht="15.75" x14ac:dyDescent="0.25">
      <c r="J47" s="143"/>
      <c r="K47" s="16"/>
      <c r="L47" s="30">
        <f>L38</f>
        <v>9.6389999999999993</v>
      </c>
      <c r="M47" s="31" t="e">
        <f>M38</f>
        <v>#DIV/0!</v>
      </c>
      <c r="O47" s="137"/>
      <c r="P47" s="138"/>
      <c r="Q47" s="120"/>
      <c r="R47" s="121"/>
      <c r="S47" s="122"/>
      <c r="T47" s="105" t="s">
        <v>154</v>
      </c>
      <c r="U47">
        <f>I42-U46</f>
        <v>0</v>
      </c>
    </row>
    <row r="48" spans="2:21" ht="15.75" x14ac:dyDescent="0.25">
      <c r="J48" s="144"/>
      <c r="K48" s="18"/>
      <c r="L48" s="10"/>
      <c r="M48" s="14"/>
      <c r="O48" s="139"/>
      <c r="P48" s="140"/>
      <c r="Q48" s="120"/>
      <c r="R48" s="121"/>
      <c r="S48" s="122"/>
    </row>
    <row r="50" spans="19:21" ht="16.5" x14ac:dyDescent="0.25">
      <c r="S50" s="109" t="s">
        <v>155</v>
      </c>
      <c r="U50" s="108">
        <f>U14+U30+U47</f>
        <v>12</v>
      </c>
    </row>
  </sheetData>
  <mergeCells count="65">
    <mergeCell ref="Q3:S3"/>
    <mergeCell ref="O4:P4"/>
    <mergeCell ref="B5:F5"/>
    <mergeCell ref="O5:P5"/>
    <mergeCell ref="B6:D6"/>
    <mergeCell ref="O6:P6"/>
    <mergeCell ref="B12:F12"/>
    <mergeCell ref="O12:P12"/>
    <mergeCell ref="B2:D2"/>
    <mergeCell ref="B3:D3"/>
    <mergeCell ref="J3:J15"/>
    <mergeCell ref="O3:P3"/>
    <mergeCell ref="B7:D7"/>
    <mergeCell ref="O7:P9"/>
    <mergeCell ref="B8:D8"/>
    <mergeCell ref="O10:P10"/>
    <mergeCell ref="O11:P11"/>
    <mergeCell ref="B13:F13"/>
    <mergeCell ref="O13:P15"/>
    <mergeCell ref="B19:F19"/>
    <mergeCell ref="J19:J31"/>
    <mergeCell ref="O19:P19"/>
    <mergeCell ref="Q19:S19"/>
    <mergeCell ref="O20:P20"/>
    <mergeCell ref="O21:P21"/>
    <mergeCell ref="O22:P22"/>
    <mergeCell ref="O23:P25"/>
    <mergeCell ref="B24:D24"/>
    <mergeCell ref="B31:E31"/>
    <mergeCell ref="Q31:S31"/>
    <mergeCell ref="B25:E25"/>
    <mergeCell ref="B26:E26"/>
    <mergeCell ref="O26:P26"/>
    <mergeCell ref="B32:E32"/>
    <mergeCell ref="B27:F27"/>
    <mergeCell ref="O27:P27"/>
    <mergeCell ref="B28:E28"/>
    <mergeCell ref="O28:P28"/>
    <mergeCell ref="B29:E29"/>
    <mergeCell ref="O29:P31"/>
    <mergeCell ref="B30:F30"/>
    <mergeCell ref="O44:P44"/>
    <mergeCell ref="O45:P45"/>
    <mergeCell ref="O46:P48"/>
    <mergeCell ref="Q13:S13"/>
    <mergeCell ref="Q14:S14"/>
    <mergeCell ref="Q15:S15"/>
    <mergeCell ref="Q29:S29"/>
    <mergeCell ref="Q30:S30"/>
    <mergeCell ref="B34:F34"/>
    <mergeCell ref="B35:F35"/>
    <mergeCell ref="J36:J48"/>
    <mergeCell ref="O36:P36"/>
    <mergeCell ref="Q36:S36"/>
    <mergeCell ref="O37:P37"/>
    <mergeCell ref="O38:P38"/>
    <mergeCell ref="O39:P39"/>
    <mergeCell ref="B40:E40"/>
    <mergeCell ref="O40:P42"/>
    <mergeCell ref="Q46:S46"/>
    <mergeCell ref="Q47:S47"/>
    <mergeCell ref="Q48:S48"/>
    <mergeCell ref="B41:E41"/>
    <mergeCell ref="B42:E42"/>
    <mergeCell ref="O43:P43"/>
  </mergeCells>
  <phoneticPr fontId="9"/>
  <conditionalFormatting sqref="B34:I42 J36:U48">
    <cfRule type="expression" dxfId="16" priority="1">
      <formula>IF($E$8="",TRUE)</formula>
    </cfRule>
  </conditionalFormatting>
  <conditionalFormatting sqref="J3:U15 B25:G25 B28:G28 B31:I31">
    <cfRule type="expression" dxfId="15" priority="3">
      <formula>IF($E$6="",TRUE)</formula>
    </cfRule>
  </conditionalFormatting>
  <conditionalFormatting sqref="J19:U31 B26:G26 B29:G29 B32:I32">
    <cfRule type="expression" dxfId="14" priority="2">
      <formula>IF($E$7="",TRUE)</formula>
    </cfRule>
  </conditionalFormatting>
  <pageMargins left="0.7" right="0.7" top="0.75" bottom="0.75" header="0.3" footer="0.3"/>
  <pageSetup paperSize="9" scale="43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BDA31DB1-4DB1-49F5-A9C3-5AA717B47AE2}">
          <x14:formula1>
            <xm:f>データ!$A$18:$A$22</xm:f>
          </x14:formula1>
          <xm:sqref>D10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510A6-E8E5-45CB-A28D-F64A07C3A69C}">
  <sheetPr>
    <tabColor theme="9" tint="0.59999389629810485"/>
  </sheetPr>
  <dimension ref="B1:U50"/>
  <sheetViews>
    <sheetView view="pageBreakPreview" zoomScale="85" zoomScaleNormal="70" zoomScaleSheetLayoutView="85" workbookViewId="0">
      <selection activeCell="L5" sqref="L5"/>
    </sheetView>
  </sheetViews>
  <sheetFormatPr defaultRowHeight="13.5" x14ac:dyDescent="0.15"/>
  <cols>
    <col min="1" max="1" width="6.375" customWidth="1"/>
    <col min="2" max="2" width="10.375" customWidth="1"/>
    <col min="3" max="3" width="11.625" customWidth="1"/>
    <col min="4" max="4" width="11.75" customWidth="1"/>
    <col min="5" max="5" width="11.25" customWidth="1"/>
    <col min="6" max="6" width="11.75" customWidth="1"/>
    <col min="7" max="7" width="7.875" customWidth="1"/>
    <col min="8" max="8" width="6.75" customWidth="1"/>
    <col min="9" max="9" width="9" bestFit="1" customWidth="1"/>
    <col min="10" max="10" width="11.625" customWidth="1"/>
    <col min="11" max="11" width="11.375" bestFit="1" customWidth="1"/>
    <col min="12" max="13" width="10" customWidth="1"/>
    <col min="14" max="14" width="6.375" customWidth="1"/>
    <col min="17" max="17" width="13" customWidth="1"/>
    <col min="18" max="18" width="10.75" customWidth="1"/>
    <col min="19" max="19" width="12.375" customWidth="1"/>
    <col min="20" max="20" width="6.375" customWidth="1"/>
    <col min="21" max="21" width="6" customWidth="1"/>
  </cols>
  <sheetData>
    <row r="1" spans="2:21" ht="15.75" x14ac:dyDescent="0.25">
      <c r="B1" s="8" t="s">
        <v>0</v>
      </c>
      <c r="C1" s="1"/>
      <c r="D1" s="1"/>
      <c r="E1" s="1"/>
      <c r="F1" s="1"/>
    </row>
    <row r="2" spans="2:21" ht="15.75" customHeight="1" x14ac:dyDescent="0.25">
      <c r="B2" s="123" t="s">
        <v>69</v>
      </c>
      <c r="C2" s="123"/>
      <c r="D2" s="123"/>
      <c r="E2" s="19">
        <v>0.15</v>
      </c>
      <c r="F2" s="1" t="s">
        <v>1</v>
      </c>
    </row>
    <row r="3" spans="2:21" ht="15.75" customHeight="1" x14ac:dyDescent="0.25">
      <c r="B3" s="123" t="s">
        <v>53</v>
      </c>
      <c r="C3" s="123"/>
      <c r="D3" s="123"/>
      <c r="E3" s="19"/>
      <c r="F3" s="1" t="s">
        <v>1</v>
      </c>
      <c r="J3" s="159" t="s">
        <v>70</v>
      </c>
      <c r="K3" s="40" t="s">
        <v>41</v>
      </c>
      <c r="L3" s="39"/>
      <c r="M3" s="41"/>
      <c r="O3" s="157" t="s">
        <v>18</v>
      </c>
      <c r="P3" s="157"/>
      <c r="Q3" s="145" t="s">
        <v>19</v>
      </c>
      <c r="R3" s="158"/>
      <c r="S3" s="146"/>
    </row>
    <row r="4" spans="2:21" ht="15.75" customHeight="1" x14ac:dyDescent="0.25">
      <c r="J4" s="159"/>
      <c r="K4" s="30">
        <f>1/E2/E6</f>
        <v>9.5238095238095255</v>
      </c>
      <c r="L4" s="23">
        <v>2</v>
      </c>
      <c r="M4" s="31">
        <f>K4/L4</f>
        <v>4.7619047619047628</v>
      </c>
      <c r="O4" s="145" t="s">
        <v>20</v>
      </c>
      <c r="P4" s="146"/>
      <c r="Q4" s="5" t="s">
        <v>27</v>
      </c>
      <c r="R4" s="24">
        <v>80</v>
      </c>
      <c r="S4" s="5" t="s">
        <v>29</v>
      </c>
    </row>
    <row r="5" spans="2:21" ht="15.75" customHeight="1" x14ac:dyDescent="0.25">
      <c r="B5" s="133" t="s">
        <v>2</v>
      </c>
      <c r="C5" s="133"/>
      <c r="D5" s="133"/>
      <c r="E5" s="133"/>
      <c r="F5" s="133"/>
      <c r="J5" s="159"/>
      <c r="K5" s="16"/>
      <c r="L5" s="23">
        <v>43.63</v>
      </c>
      <c r="M5" s="31">
        <f>L5/K4</f>
        <v>4.5811499999999992</v>
      </c>
      <c r="O5" s="145" t="s">
        <v>21</v>
      </c>
      <c r="P5" s="146"/>
      <c r="Q5" s="5" t="s">
        <v>28</v>
      </c>
      <c r="R5" s="24">
        <v>200</v>
      </c>
      <c r="S5" s="5"/>
    </row>
    <row r="6" spans="2:21" ht="15.75" customHeight="1" x14ac:dyDescent="0.25">
      <c r="B6" s="123" t="s">
        <v>72</v>
      </c>
      <c r="C6" s="123"/>
      <c r="D6" s="123"/>
      <c r="E6" s="19">
        <v>0.7</v>
      </c>
      <c r="F6" s="1" t="s">
        <v>3</v>
      </c>
      <c r="J6" s="159"/>
      <c r="K6" s="17" t="s">
        <v>42</v>
      </c>
      <c r="L6" s="1"/>
      <c r="M6" s="13"/>
      <c r="O6" s="145" t="s">
        <v>25</v>
      </c>
      <c r="P6" s="146"/>
      <c r="Q6" s="5" t="s">
        <v>71</v>
      </c>
      <c r="R6" s="32">
        <f>E2*1000</f>
        <v>150</v>
      </c>
      <c r="S6" s="5" t="s">
        <v>34</v>
      </c>
      <c r="T6" s="101" t="s">
        <v>152</v>
      </c>
    </row>
    <row r="7" spans="2:21" ht="15.75" customHeight="1" x14ac:dyDescent="0.25">
      <c r="B7" s="123" t="s">
        <v>63</v>
      </c>
      <c r="C7" s="123"/>
      <c r="D7" s="123"/>
      <c r="E7" s="19"/>
      <c r="F7" s="1" t="s">
        <v>3</v>
      </c>
      <c r="J7" s="159"/>
      <c r="K7" s="30">
        <f>2/E2/E6</f>
        <v>19.047619047619051</v>
      </c>
      <c r="L7" s="30">
        <f>L4</f>
        <v>2</v>
      </c>
      <c r="M7" s="31">
        <f>K7/L7</f>
        <v>9.5238095238095255</v>
      </c>
      <c r="O7" s="147" t="s">
        <v>22</v>
      </c>
      <c r="P7" s="148"/>
      <c r="Q7" s="5" t="s">
        <v>30</v>
      </c>
      <c r="R7" s="32">
        <f>E6*1000</f>
        <v>700</v>
      </c>
      <c r="S7" s="5" t="s">
        <v>35</v>
      </c>
      <c r="T7" s="100" t="s">
        <v>147</v>
      </c>
      <c r="U7" s="104"/>
    </row>
    <row r="8" spans="2:21" ht="15.75" customHeight="1" x14ac:dyDescent="0.25">
      <c r="B8" s="123" t="s">
        <v>54</v>
      </c>
      <c r="C8" s="123"/>
      <c r="D8" s="123"/>
      <c r="E8" s="19"/>
      <c r="F8" s="1" t="s">
        <v>3</v>
      </c>
      <c r="J8" s="159"/>
      <c r="K8" s="16"/>
      <c r="L8" s="30">
        <f>L5</f>
        <v>43.63</v>
      </c>
      <c r="M8" s="31">
        <f>M5</f>
        <v>4.5811499999999992</v>
      </c>
      <c r="O8" s="149"/>
      <c r="P8" s="150"/>
      <c r="Q8" s="5" t="s">
        <v>31</v>
      </c>
      <c r="R8" s="33">
        <f>E10-R23</f>
        <v>0</v>
      </c>
      <c r="S8" s="5" t="s">
        <v>35</v>
      </c>
      <c r="T8" s="100" t="s">
        <v>148</v>
      </c>
      <c r="U8" s="104"/>
    </row>
    <row r="9" spans="2:21" ht="15.75" customHeight="1" x14ac:dyDescent="0.25">
      <c r="B9" s="9"/>
      <c r="C9" s="9"/>
      <c r="D9" s="9"/>
      <c r="E9" s="4"/>
      <c r="F9" s="1"/>
      <c r="J9" s="159"/>
      <c r="K9" s="17" t="s">
        <v>43</v>
      </c>
      <c r="L9" s="1"/>
      <c r="M9" s="13"/>
      <c r="O9" s="151"/>
      <c r="P9" s="152"/>
      <c r="Q9" s="5" t="s">
        <v>32</v>
      </c>
      <c r="R9" s="33">
        <f>E10-R23-R7</f>
        <v>-700</v>
      </c>
      <c r="S9" s="5" t="s">
        <v>35</v>
      </c>
      <c r="T9" s="100" t="s">
        <v>149</v>
      </c>
      <c r="U9" s="104"/>
    </row>
    <row r="10" spans="2:21" ht="15.75" customHeight="1" x14ac:dyDescent="0.25">
      <c r="B10" s="11" t="s">
        <v>62</v>
      </c>
      <c r="C10" s="11"/>
      <c r="D10" s="11"/>
      <c r="E10" s="20"/>
      <c r="F10" s="1" t="s">
        <v>35</v>
      </c>
      <c r="J10" s="159"/>
      <c r="K10" s="30">
        <f>3/E2/E6</f>
        <v>28.571428571428573</v>
      </c>
      <c r="L10" s="30">
        <f>L4</f>
        <v>2</v>
      </c>
      <c r="M10" s="31">
        <f>K10/L10</f>
        <v>14.285714285714286</v>
      </c>
      <c r="O10" s="145" t="s">
        <v>23</v>
      </c>
      <c r="P10" s="146"/>
      <c r="Q10" s="5" t="s">
        <v>33</v>
      </c>
      <c r="R10" s="33">
        <f>ROUNDUP(F25,0)</f>
        <v>171</v>
      </c>
      <c r="S10" s="5" t="s">
        <v>36</v>
      </c>
      <c r="T10" s="100" t="s">
        <v>150</v>
      </c>
      <c r="U10" s="104"/>
    </row>
    <row r="11" spans="2:21" ht="15.75" customHeight="1" x14ac:dyDescent="0.25">
      <c r="B11" s="9"/>
      <c r="C11" s="9"/>
      <c r="D11" s="9"/>
      <c r="E11" s="4"/>
      <c r="F11" s="1"/>
      <c r="I11">
        <f>5/E2/E6</f>
        <v>47.619047619047628</v>
      </c>
      <c r="J11" s="159"/>
      <c r="K11" s="16"/>
      <c r="L11" s="30">
        <f>L5</f>
        <v>43.63</v>
      </c>
      <c r="M11" s="31">
        <f>M5</f>
        <v>4.5811499999999992</v>
      </c>
      <c r="O11" s="145" t="s">
        <v>24</v>
      </c>
      <c r="P11" s="146"/>
      <c r="Q11" s="5" t="s">
        <v>33</v>
      </c>
      <c r="R11" s="33">
        <f>ROUNDUP(F28,0)</f>
        <v>120</v>
      </c>
      <c r="S11" s="5" t="s">
        <v>37</v>
      </c>
      <c r="T11" s="100" t="s">
        <v>151</v>
      </c>
      <c r="U11" s="104"/>
    </row>
    <row r="12" spans="2:21" ht="15.75" customHeight="1" x14ac:dyDescent="0.25">
      <c r="B12" s="133" t="s">
        <v>16</v>
      </c>
      <c r="C12" s="133"/>
      <c r="D12" s="133"/>
      <c r="E12" s="133"/>
      <c r="F12" s="133"/>
      <c r="J12" s="159"/>
      <c r="K12" s="17" t="s">
        <v>44</v>
      </c>
      <c r="L12" s="1"/>
      <c r="M12" s="13"/>
      <c r="O12" s="145" t="s">
        <v>26</v>
      </c>
      <c r="P12" s="146"/>
      <c r="Q12" s="5" t="s">
        <v>33</v>
      </c>
      <c r="R12" s="24"/>
      <c r="S12" s="5" t="s">
        <v>38</v>
      </c>
    </row>
    <row r="13" spans="2:21" ht="15.75" customHeight="1" x14ac:dyDescent="0.25">
      <c r="B13" s="134" t="s">
        <v>145</v>
      </c>
      <c r="C13" s="134"/>
      <c r="D13" s="134"/>
      <c r="E13" s="134"/>
      <c r="F13" s="134"/>
      <c r="J13" s="159"/>
      <c r="K13" s="30">
        <f>4/E2/E6</f>
        <v>38.095238095238102</v>
      </c>
      <c r="L13" s="30">
        <f>L4</f>
        <v>2</v>
      </c>
      <c r="M13" s="31">
        <f>K13/L13</f>
        <v>19.047619047619051</v>
      </c>
      <c r="O13" s="147"/>
      <c r="P13" s="148"/>
      <c r="Q13" s="120" t="s">
        <v>40</v>
      </c>
      <c r="R13" s="121"/>
      <c r="S13" s="122"/>
      <c r="T13" s="103" t="s">
        <v>153</v>
      </c>
      <c r="U13" s="102">
        <f>SUM(LEFT(T7,1)*U7,LEFT(T8,1)*U8,LEFT(T9,1)*U9,LEFT(T10,1)*U10,LEFT(T11,1)*U11)</f>
        <v>0</v>
      </c>
    </row>
    <row r="14" spans="2:21" ht="15.75" customHeight="1" x14ac:dyDescent="0.25">
      <c r="B14" s="26" t="s">
        <v>7</v>
      </c>
      <c r="C14" s="26" t="s">
        <v>8</v>
      </c>
      <c r="D14" s="26" t="s">
        <v>9</v>
      </c>
      <c r="E14" s="26" t="s">
        <v>10</v>
      </c>
      <c r="F14" s="27" t="s">
        <v>11</v>
      </c>
      <c r="J14" s="159"/>
      <c r="K14" s="16"/>
      <c r="L14" s="30">
        <f>L5</f>
        <v>43.63</v>
      </c>
      <c r="M14" s="31">
        <f>M5</f>
        <v>4.5811499999999992</v>
      </c>
      <c r="O14" s="149"/>
      <c r="P14" s="150"/>
      <c r="Q14" s="120" t="s">
        <v>39</v>
      </c>
      <c r="R14" s="121"/>
      <c r="S14" s="122"/>
      <c r="T14" s="105" t="s">
        <v>154</v>
      </c>
      <c r="U14">
        <f>I31-U13</f>
        <v>19</v>
      </c>
    </row>
    <row r="15" spans="2:21" ht="15.75" customHeight="1" x14ac:dyDescent="0.25">
      <c r="B15" s="26">
        <v>1</v>
      </c>
      <c r="C15" s="21">
        <v>1</v>
      </c>
      <c r="D15" s="22">
        <v>1</v>
      </c>
      <c r="E15" s="22">
        <v>170.63</v>
      </c>
      <c r="F15" s="28">
        <f>IF(C15="","",C15*D15*E15)</f>
        <v>170.63</v>
      </c>
      <c r="J15" s="159"/>
      <c r="K15" s="18"/>
      <c r="L15" s="10"/>
      <c r="M15" s="14"/>
      <c r="O15" s="151"/>
      <c r="P15" s="152"/>
      <c r="Q15" s="120" t="s">
        <v>46</v>
      </c>
      <c r="R15" s="121"/>
      <c r="S15" s="122"/>
    </row>
    <row r="16" spans="2:21" ht="15.75" customHeight="1" x14ac:dyDescent="0.15">
      <c r="B16" s="26">
        <v>2</v>
      </c>
      <c r="C16" s="21"/>
      <c r="D16" s="22">
        <v>1</v>
      </c>
      <c r="E16" s="22"/>
      <c r="F16" s="28" t="str">
        <f>IF(C16="","",C16*D16*E16)</f>
        <v/>
      </c>
      <c r="H16" s="7"/>
    </row>
    <row r="17" spans="2:21" ht="15.75" customHeight="1" x14ac:dyDescent="0.15">
      <c r="F17" s="28">
        <f>SUM(F15:F16)</f>
        <v>170.63</v>
      </c>
    </row>
    <row r="18" spans="2:21" ht="15.75" customHeight="1" x14ac:dyDescent="0.15"/>
    <row r="19" spans="2:21" ht="15.75" customHeight="1" x14ac:dyDescent="0.25">
      <c r="B19" s="134" t="s">
        <v>146</v>
      </c>
      <c r="C19" s="134"/>
      <c r="D19" s="134"/>
      <c r="E19" s="134"/>
      <c r="F19" s="134"/>
      <c r="J19" s="154" t="s">
        <v>47</v>
      </c>
      <c r="K19" s="43" t="s">
        <v>41</v>
      </c>
      <c r="L19" s="42"/>
      <c r="M19" s="44"/>
      <c r="O19" s="125" t="s">
        <v>18</v>
      </c>
      <c r="P19" s="126"/>
      <c r="Q19" s="125" t="s">
        <v>64</v>
      </c>
      <c r="R19" s="153"/>
      <c r="S19" s="126"/>
    </row>
    <row r="20" spans="2:21" ht="15.75" customHeight="1" x14ac:dyDescent="0.25">
      <c r="B20" s="26" t="s">
        <v>7</v>
      </c>
      <c r="C20" s="26" t="s">
        <v>8</v>
      </c>
      <c r="D20" s="26" t="s">
        <v>9</v>
      </c>
      <c r="E20" s="26" t="s">
        <v>10</v>
      </c>
      <c r="F20" s="27" t="s">
        <v>11</v>
      </c>
      <c r="J20" s="155"/>
      <c r="K20" s="30" t="e">
        <f>1/E3/E7</f>
        <v>#DIV/0!</v>
      </c>
      <c r="L20" s="23">
        <v>5.51</v>
      </c>
      <c r="M20" s="31" t="e">
        <f>K20/L20</f>
        <v>#DIV/0!</v>
      </c>
      <c r="O20" s="125" t="s">
        <v>20</v>
      </c>
      <c r="P20" s="126"/>
      <c r="Q20" s="5" t="s">
        <v>27</v>
      </c>
      <c r="R20" s="32">
        <f>R4</f>
        <v>80</v>
      </c>
      <c r="S20" s="5" t="s">
        <v>29</v>
      </c>
    </row>
    <row r="21" spans="2:21" ht="15.75" customHeight="1" x14ac:dyDescent="0.25">
      <c r="B21" s="26">
        <v>1</v>
      </c>
      <c r="C21" s="21"/>
      <c r="D21" s="22">
        <v>1</v>
      </c>
      <c r="E21" s="22"/>
      <c r="F21" s="28" t="str">
        <f>IF(C21="","",C21*D21*E21)</f>
        <v/>
      </c>
      <c r="J21" s="155"/>
      <c r="K21" s="16"/>
      <c r="L21" s="23">
        <v>9.6389999999999993</v>
      </c>
      <c r="M21" s="31" t="e">
        <f>L21/K20</f>
        <v>#DIV/0!</v>
      </c>
      <c r="O21" s="125" t="s">
        <v>21</v>
      </c>
      <c r="P21" s="126"/>
      <c r="Q21" s="5" t="s">
        <v>28</v>
      </c>
      <c r="R21" s="32">
        <f>R5</f>
        <v>200</v>
      </c>
      <c r="S21" s="5"/>
    </row>
    <row r="22" spans="2:21" ht="15.75" customHeight="1" x14ac:dyDescent="0.25">
      <c r="B22" s="26">
        <v>2</v>
      </c>
      <c r="C22" s="21"/>
      <c r="D22" s="22">
        <v>1</v>
      </c>
      <c r="E22" s="22"/>
      <c r="F22" s="28" t="str">
        <f t="shared" ref="F22" si="0">IF(C22="","",C22*D22*E22)</f>
        <v/>
      </c>
      <c r="J22" s="155"/>
      <c r="K22" s="17" t="s">
        <v>42</v>
      </c>
      <c r="L22" s="1"/>
      <c r="M22" s="13"/>
      <c r="O22" s="125" t="s">
        <v>25</v>
      </c>
      <c r="P22" s="126"/>
      <c r="Q22" s="5" t="s">
        <v>67</v>
      </c>
      <c r="R22" s="32">
        <f>E3*1000</f>
        <v>0</v>
      </c>
      <c r="S22" s="5" t="s">
        <v>34</v>
      </c>
      <c r="T22" s="101" t="s">
        <v>152</v>
      </c>
    </row>
    <row r="23" spans="2:21" ht="15.75" customHeight="1" x14ac:dyDescent="0.25">
      <c r="F23" s="28">
        <f>SUM(F21:F22)</f>
        <v>0</v>
      </c>
      <c r="J23" s="155"/>
      <c r="K23" s="30" t="e">
        <f>2/E3/E7</f>
        <v>#DIV/0!</v>
      </c>
      <c r="L23" s="30">
        <f>L20</f>
        <v>5.51</v>
      </c>
      <c r="M23" s="31" t="e">
        <f>K23/L23</f>
        <v>#DIV/0!</v>
      </c>
      <c r="O23" s="127" t="s">
        <v>22</v>
      </c>
      <c r="P23" s="128"/>
      <c r="Q23" s="5" t="s">
        <v>30</v>
      </c>
      <c r="R23" s="32">
        <f>E7*1000</f>
        <v>0</v>
      </c>
      <c r="S23" s="5" t="s">
        <v>35</v>
      </c>
      <c r="T23" s="100" t="s">
        <v>147</v>
      </c>
      <c r="U23" s="104"/>
    </row>
    <row r="24" spans="2:21" ht="15.75" customHeight="1" x14ac:dyDescent="0.25">
      <c r="B24" s="123"/>
      <c r="C24" s="123"/>
      <c r="D24" s="123"/>
      <c r="E24" s="7"/>
      <c r="F24" s="10"/>
      <c r="J24" s="155"/>
      <c r="K24" s="16"/>
      <c r="L24" s="30">
        <f>L21</f>
        <v>9.6389999999999993</v>
      </c>
      <c r="M24" s="31" t="e">
        <f>M21</f>
        <v>#DIV/0!</v>
      </c>
      <c r="O24" s="129"/>
      <c r="P24" s="130"/>
      <c r="Q24" s="5" t="s">
        <v>31</v>
      </c>
      <c r="R24" s="33">
        <f>E10</f>
        <v>0</v>
      </c>
      <c r="S24" s="5" t="s">
        <v>35</v>
      </c>
      <c r="T24" s="100" t="s">
        <v>148</v>
      </c>
      <c r="U24" s="104"/>
    </row>
    <row r="25" spans="2:21" ht="15.75" customHeight="1" x14ac:dyDescent="0.35">
      <c r="B25" s="123" t="s">
        <v>73</v>
      </c>
      <c r="C25" s="123"/>
      <c r="D25" s="123"/>
      <c r="E25" s="123"/>
      <c r="F25" s="29">
        <f>F17</f>
        <v>170.63</v>
      </c>
      <c r="G25" s="2" t="s">
        <v>4</v>
      </c>
      <c r="J25" s="155"/>
      <c r="K25" s="17" t="s">
        <v>43</v>
      </c>
      <c r="L25" s="1"/>
      <c r="M25" s="13"/>
      <c r="O25" s="131"/>
      <c r="P25" s="132"/>
      <c r="Q25" s="5" t="s">
        <v>32</v>
      </c>
      <c r="R25" s="33">
        <f>E10-R23</f>
        <v>0</v>
      </c>
      <c r="S25" s="5" t="s">
        <v>35</v>
      </c>
      <c r="T25" s="100" t="s">
        <v>149</v>
      </c>
      <c r="U25" s="104"/>
    </row>
    <row r="26" spans="2:21" ht="15.75" customHeight="1" x14ac:dyDescent="0.35">
      <c r="B26" s="123" t="s">
        <v>6</v>
      </c>
      <c r="C26" s="123"/>
      <c r="D26" s="123"/>
      <c r="E26" s="123"/>
      <c r="F26" s="29">
        <f>F23</f>
        <v>0</v>
      </c>
      <c r="G26" s="2" t="s">
        <v>4</v>
      </c>
      <c r="J26" s="155"/>
      <c r="K26" s="30" t="e">
        <f>3/E3/E7</f>
        <v>#DIV/0!</v>
      </c>
      <c r="L26" s="30">
        <f>L20</f>
        <v>5.51</v>
      </c>
      <c r="M26" s="31" t="e">
        <f>K26/L26</f>
        <v>#DIV/0!</v>
      </c>
      <c r="O26" s="125" t="s">
        <v>23</v>
      </c>
      <c r="P26" s="126"/>
      <c r="Q26" s="5" t="s">
        <v>68</v>
      </c>
      <c r="R26" s="34">
        <f>ROUNDUP(F26,0)</f>
        <v>0</v>
      </c>
      <c r="S26" s="5" t="s">
        <v>36</v>
      </c>
      <c r="T26" s="100" t="s">
        <v>150</v>
      </c>
      <c r="U26" s="104"/>
    </row>
    <row r="27" spans="2:21" ht="15.75" customHeight="1" x14ac:dyDescent="0.25">
      <c r="B27" s="133" t="s">
        <v>48</v>
      </c>
      <c r="C27" s="133"/>
      <c r="D27" s="133"/>
      <c r="E27" s="133"/>
      <c r="F27" s="133"/>
      <c r="J27" s="155"/>
      <c r="K27" s="16"/>
      <c r="L27" s="30">
        <f>L21</f>
        <v>9.6389999999999993</v>
      </c>
      <c r="M27" s="31" t="e">
        <f>M21</f>
        <v>#DIV/0!</v>
      </c>
      <c r="O27" s="125" t="s">
        <v>24</v>
      </c>
      <c r="P27" s="126"/>
      <c r="Q27" s="5" t="s">
        <v>68</v>
      </c>
      <c r="R27" s="34">
        <f>ROUNDUP(F29,0)</f>
        <v>0</v>
      </c>
      <c r="S27" s="5" t="s">
        <v>37</v>
      </c>
      <c r="T27" s="100" t="s">
        <v>151</v>
      </c>
      <c r="U27" s="104"/>
    </row>
    <row r="28" spans="2:21" ht="15.75" customHeight="1" x14ac:dyDescent="0.35">
      <c r="B28" s="123" t="s">
        <v>74</v>
      </c>
      <c r="C28" s="123"/>
      <c r="D28" s="123"/>
      <c r="E28" s="124"/>
      <c r="F28" s="29">
        <f>PRODUCT(F25,E6)</f>
        <v>119.44099999999999</v>
      </c>
      <c r="G28" s="2" t="s">
        <v>12</v>
      </c>
      <c r="J28" s="155"/>
      <c r="K28" s="17" t="s">
        <v>44</v>
      </c>
      <c r="L28" s="1"/>
      <c r="M28" s="13"/>
      <c r="O28" s="125" t="s">
        <v>26</v>
      </c>
      <c r="P28" s="126"/>
      <c r="Q28" s="5" t="s">
        <v>68</v>
      </c>
      <c r="R28" s="24"/>
      <c r="S28" s="5" t="s">
        <v>38</v>
      </c>
    </row>
    <row r="29" spans="2:21" ht="15.75" customHeight="1" x14ac:dyDescent="0.4">
      <c r="B29" s="123" t="s">
        <v>14</v>
      </c>
      <c r="C29" s="123"/>
      <c r="D29" s="123"/>
      <c r="E29" s="123"/>
      <c r="F29" s="29">
        <f>PRODUCT(F26,E7)</f>
        <v>0</v>
      </c>
      <c r="G29" s="2" t="s">
        <v>12</v>
      </c>
      <c r="J29" s="155"/>
      <c r="K29" s="30" t="e">
        <f>4/E3/E7</f>
        <v>#DIV/0!</v>
      </c>
      <c r="L29" s="30">
        <f>L20</f>
        <v>5.51</v>
      </c>
      <c r="M29" s="31" t="e">
        <f>K29/L29</f>
        <v>#DIV/0!</v>
      </c>
      <c r="O29" s="127"/>
      <c r="P29" s="128"/>
      <c r="Q29" s="120" t="s">
        <v>45</v>
      </c>
      <c r="R29" s="121"/>
      <c r="S29" s="122"/>
      <c r="T29" s="103" t="s">
        <v>153</v>
      </c>
      <c r="U29" s="102">
        <f>SUM(LEFT(T23,1)*U23,LEFT(T24,1)*U24,LEFT(T25,1)*U25,LEFT(T26,1)*U26,LEFT(T27,1)*U27)</f>
        <v>0</v>
      </c>
    </row>
    <row r="30" spans="2:21" ht="15.75" customHeight="1" x14ac:dyDescent="0.25">
      <c r="B30" s="133" t="s">
        <v>49</v>
      </c>
      <c r="C30" s="133"/>
      <c r="D30" s="133"/>
      <c r="E30" s="133"/>
      <c r="F30" s="133"/>
      <c r="J30" s="155"/>
      <c r="K30" s="16"/>
      <c r="L30" s="30">
        <f>L21</f>
        <v>9.6389999999999993</v>
      </c>
      <c r="M30" s="31" t="e">
        <f>M21</f>
        <v>#DIV/0!</v>
      </c>
      <c r="O30" s="129"/>
      <c r="P30" s="130"/>
      <c r="Q30" s="120" t="s">
        <v>39</v>
      </c>
      <c r="R30" s="121"/>
      <c r="S30" s="122"/>
      <c r="T30" s="105" t="s">
        <v>154</v>
      </c>
      <c r="U30">
        <f>I32-U29</f>
        <v>0</v>
      </c>
    </row>
    <row r="31" spans="2:21" ht="15.75" customHeight="1" x14ac:dyDescent="0.35">
      <c r="B31" s="123" t="s">
        <v>75</v>
      </c>
      <c r="C31" s="123"/>
      <c r="D31" s="123"/>
      <c r="E31" s="123"/>
      <c r="F31" s="29">
        <f>PRODUCT(F28,E2)</f>
        <v>17.916149999999998</v>
      </c>
      <c r="G31" s="1" t="s">
        <v>13</v>
      </c>
      <c r="H31" s="3" t="s">
        <v>17</v>
      </c>
      <c r="I31" s="15">
        <f>ROUNDUP(F31+F31*2%,0)</f>
        <v>19</v>
      </c>
      <c r="J31" s="156"/>
      <c r="K31" s="18"/>
      <c r="L31" s="10"/>
      <c r="M31" s="14"/>
      <c r="O31" s="131"/>
      <c r="P31" s="132"/>
      <c r="Q31" s="120" t="s">
        <v>46</v>
      </c>
      <c r="R31" s="121"/>
      <c r="S31" s="122"/>
    </row>
    <row r="32" spans="2:21" ht="15.75" customHeight="1" x14ac:dyDescent="0.35">
      <c r="B32" s="123" t="s">
        <v>15</v>
      </c>
      <c r="C32" s="123"/>
      <c r="D32" s="123"/>
      <c r="E32" s="123"/>
      <c r="F32" s="29">
        <f>PRODUCT(F29,E3)</f>
        <v>0</v>
      </c>
      <c r="G32" s="1" t="s">
        <v>13</v>
      </c>
      <c r="H32" s="3" t="s">
        <v>17</v>
      </c>
      <c r="I32" s="15">
        <f>ROUNDUP(F32+F32*2%,0)</f>
        <v>0</v>
      </c>
    </row>
    <row r="33" spans="2:21" ht="15.75" customHeight="1" x14ac:dyDescent="0.15"/>
    <row r="34" spans="2:21" ht="15.75" customHeight="1" x14ac:dyDescent="0.25">
      <c r="B34" s="133" t="s">
        <v>51</v>
      </c>
      <c r="C34" s="133"/>
      <c r="D34" s="133"/>
      <c r="E34" s="133"/>
      <c r="F34" s="133"/>
    </row>
    <row r="35" spans="2:21" ht="15.75" customHeight="1" x14ac:dyDescent="0.25">
      <c r="B35" s="134" t="s">
        <v>50</v>
      </c>
      <c r="C35" s="134"/>
      <c r="D35" s="134"/>
      <c r="E35" s="134"/>
      <c r="F35" s="134"/>
    </row>
    <row r="36" spans="2:21" ht="15.75" customHeight="1" x14ac:dyDescent="0.25">
      <c r="B36" s="26" t="s">
        <v>7</v>
      </c>
      <c r="C36" s="26" t="s">
        <v>8</v>
      </c>
      <c r="D36" s="26" t="s">
        <v>9</v>
      </c>
      <c r="E36" s="26" t="s">
        <v>10</v>
      </c>
      <c r="F36" s="27" t="s">
        <v>11</v>
      </c>
      <c r="J36" s="142" t="s">
        <v>61</v>
      </c>
      <c r="K36" s="45" t="s">
        <v>41</v>
      </c>
      <c r="L36" s="46"/>
      <c r="M36" s="47"/>
      <c r="O36" s="118" t="s">
        <v>18</v>
      </c>
      <c r="P36" s="119"/>
      <c r="Q36" s="118" t="s">
        <v>65</v>
      </c>
      <c r="R36" s="141"/>
      <c r="S36" s="119"/>
    </row>
    <row r="37" spans="2:21" ht="15.75" customHeight="1" x14ac:dyDescent="0.25">
      <c r="B37" s="26">
        <v>1</v>
      </c>
      <c r="C37" s="21"/>
      <c r="D37" s="22"/>
      <c r="E37" s="22"/>
      <c r="F37" s="28" t="str">
        <f t="shared" ref="F37:F38" si="1">IF(C37="","",C37*D37*E37)</f>
        <v/>
      </c>
      <c r="J37" s="143"/>
      <c r="K37" s="30" t="e">
        <f>1/E3/E8</f>
        <v>#DIV/0!</v>
      </c>
      <c r="L37" s="23">
        <v>5.51</v>
      </c>
      <c r="M37" s="31" t="e">
        <f>K37/L37</f>
        <v>#DIV/0!</v>
      </c>
      <c r="O37" s="118" t="s">
        <v>20</v>
      </c>
      <c r="P37" s="119"/>
      <c r="Q37" s="5" t="s">
        <v>27</v>
      </c>
      <c r="R37" s="35">
        <f>R21</f>
        <v>200</v>
      </c>
      <c r="S37" s="5" t="s">
        <v>29</v>
      </c>
    </row>
    <row r="38" spans="2:21" ht="15.75" customHeight="1" x14ac:dyDescent="0.25">
      <c r="B38" s="26">
        <v>2</v>
      </c>
      <c r="C38" s="21"/>
      <c r="D38" s="22"/>
      <c r="E38" s="22"/>
      <c r="F38" s="28" t="str">
        <f t="shared" si="1"/>
        <v/>
      </c>
      <c r="J38" s="143"/>
      <c r="K38" s="16"/>
      <c r="L38" s="23">
        <v>9.6389999999999993</v>
      </c>
      <c r="M38" s="31" t="e">
        <f>L38/K37</f>
        <v>#DIV/0!</v>
      </c>
      <c r="O38" s="118" t="s">
        <v>21</v>
      </c>
      <c r="P38" s="119"/>
      <c r="Q38" s="5" t="s">
        <v>28</v>
      </c>
      <c r="R38" s="35">
        <f>R22</f>
        <v>0</v>
      </c>
      <c r="S38" s="5"/>
    </row>
    <row r="39" spans="2:21" ht="15.75" customHeight="1" x14ac:dyDescent="0.25">
      <c r="F39" s="28">
        <f>SUM(F37:F38)</f>
        <v>0</v>
      </c>
      <c r="J39" s="143"/>
      <c r="K39" s="17" t="s">
        <v>42</v>
      </c>
      <c r="L39" s="1"/>
      <c r="M39" s="13"/>
      <c r="O39" s="118" t="s">
        <v>25</v>
      </c>
      <c r="P39" s="119"/>
      <c r="Q39" s="5"/>
      <c r="R39" s="36" t="s">
        <v>66</v>
      </c>
      <c r="S39" s="5" t="s">
        <v>34</v>
      </c>
      <c r="T39" s="101" t="s">
        <v>152</v>
      </c>
    </row>
    <row r="40" spans="2:21" ht="18" x14ac:dyDescent="0.25">
      <c r="B40" s="123" t="s">
        <v>58</v>
      </c>
      <c r="C40" s="123"/>
      <c r="D40" s="123"/>
      <c r="E40" s="123"/>
      <c r="F40" s="29">
        <f>F39</f>
        <v>0</v>
      </c>
      <c r="G40" s="2" t="s">
        <v>4</v>
      </c>
      <c r="J40" s="143"/>
      <c r="K40" s="30" t="e">
        <f>2/E3/E8</f>
        <v>#DIV/0!</v>
      </c>
      <c r="L40" s="30">
        <f>L37</f>
        <v>5.51</v>
      </c>
      <c r="M40" s="31" t="e">
        <f>K40/L40</f>
        <v>#DIV/0!</v>
      </c>
      <c r="O40" s="135" t="s">
        <v>22</v>
      </c>
      <c r="P40" s="136"/>
      <c r="Q40" s="5"/>
      <c r="R40" s="35" t="s">
        <v>66</v>
      </c>
      <c r="S40" s="5" t="s">
        <v>35</v>
      </c>
      <c r="T40" s="100" t="s">
        <v>147</v>
      </c>
      <c r="U40" s="104"/>
    </row>
    <row r="41" spans="2:21" ht="18" x14ac:dyDescent="0.25">
      <c r="B41" s="123" t="s">
        <v>59</v>
      </c>
      <c r="C41" s="123"/>
      <c r="D41" s="123"/>
      <c r="E41" s="123"/>
      <c r="F41" s="29">
        <f>PRODUCT(F40,E8)</f>
        <v>0</v>
      </c>
      <c r="G41" s="2" t="s">
        <v>12</v>
      </c>
      <c r="H41" s="3"/>
      <c r="J41" s="143"/>
      <c r="K41" s="16"/>
      <c r="L41" s="30">
        <f>L38</f>
        <v>9.6389999999999993</v>
      </c>
      <c r="M41" s="31" t="e">
        <f>M38</f>
        <v>#DIV/0!</v>
      </c>
      <c r="O41" s="137"/>
      <c r="P41" s="138"/>
      <c r="Q41" s="5" t="s">
        <v>31</v>
      </c>
      <c r="R41" s="37" t="s">
        <v>66</v>
      </c>
      <c r="S41" s="5" t="s">
        <v>35</v>
      </c>
      <c r="T41" s="100" t="s">
        <v>148</v>
      </c>
      <c r="U41" s="104"/>
    </row>
    <row r="42" spans="2:21" ht="18.75" x14ac:dyDescent="0.25">
      <c r="B42" s="123" t="s">
        <v>60</v>
      </c>
      <c r="C42" s="123"/>
      <c r="D42" s="123"/>
      <c r="E42" s="123"/>
      <c r="F42" s="29">
        <f>F41*E3</f>
        <v>0</v>
      </c>
      <c r="G42" s="1" t="s">
        <v>13</v>
      </c>
      <c r="H42" s="3" t="s">
        <v>17</v>
      </c>
      <c r="I42" s="6">
        <f>ROUNDUP(F42+F42*2%,0)</f>
        <v>0</v>
      </c>
      <c r="J42" s="143"/>
      <c r="K42" s="17" t="s">
        <v>43</v>
      </c>
      <c r="L42" s="1"/>
      <c r="M42" s="13"/>
      <c r="O42" s="139"/>
      <c r="P42" s="140"/>
      <c r="Q42" s="5" t="s">
        <v>32</v>
      </c>
      <c r="R42" s="37" t="s">
        <v>66</v>
      </c>
      <c r="S42" s="5" t="s">
        <v>35</v>
      </c>
      <c r="T42" s="100" t="s">
        <v>149</v>
      </c>
      <c r="U42" s="104"/>
    </row>
    <row r="43" spans="2:21" ht="15.75" x14ac:dyDescent="0.25">
      <c r="J43" s="143"/>
      <c r="K43" s="30" t="e">
        <f>3/E3/E8</f>
        <v>#DIV/0!</v>
      </c>
      <c r="L43" s="30">
        <f>L37</f>
        <v>5.51</v>
      </c>
      <c r="M43" s="31" t="e">
        <f>K43/L43</f>
        <v>#DIV/0!</v>
      </c>
      <c r="O43" s="118" t="s">
        <v>23</v>
      </c>
      <c r="P43" s="119"/>
      <c r="Q43" s="5"/>
      <c r="R43" s="38">
        <f>ROUNDUP(F40,0)</f>
        <v>0</v>
      </c>
      <c r="S43" s="5" t="s">
        <v>36</v>
      </c>
      <c r="T43" s="100" t="s">
        <v>150</v>
      </c>
      <c r="U43" s="104"/>
    </row>
    <row r="44" spans="2:21" ht="15.75" x14ac:dyDescent="0.25">
      <c r="J44" s="143"/>
      <c r="K44" s="16"/>
      <c r="L44" s="30">
        <f>L38</f>
        <v>9.6389999999999993</v>
      </c>
      <c r="M44" s="31" t="e">
        <f>M38</f>
        <v>#DIV/0!</v>
      </c>
      <c r="O44" s="118" t="s">
        <v>24</v>
      </c>
      <c r="P44" s="119"/>
      <c r="Q44" s="5"/>
      <c r="R44" s="38">
        <f>ROUNDUP(F41,0)</f>
        <v>0</v>
      </c>
      <c r="S44" s="5" t="s">
        <v>37</v>
      </c>
      <c r="T44" s="100" t="s">
        <v>151</v>
      </c>
      <c r="U44" s="104"/>
    </row>
    <row r="45" spans="2:21" ht="18.75" x14ac:dyDescent="0.25">
      <c r="J45" s="143"/>
      <c r="K45" s="17" t="s">
        <v>44</v>
      </c>
      <c r="L45" s="1"/>
      <c r="M45" s="13"/>
      <c r="O45" s="118" t="s">
        <v>26</v>
      </c>
      <c r="P45" s="119"/>
      <c r="Q45" s="5"/>
      <c r="R45" s="25"/>
      <c r="S45" s="5" t="s">
        <v>38</v>
      </c>
    </row>
    <row r="46" spans="2:21" ht="15.75" x14ac:dyDescent="0.25">
      <c r="J46" s="143"/>
      <c r="K46" s="30" t="e">
        <f>4/E3/E8</f>
        <v>#DIV/0!</v>
      </c>
      <c r="L46" s="30">
        <f>L37</f>
        <v>5.51</v>
      </c>
      <c r="M46" s="31" t="e">
        <f>K46/L46</f>
        <v>#DIV/0!</v>
      </c>
      <c r="O46" s="135"/>
      <c r="P46" s="136"/>
      <c r="Q46" s="120"/>
      <c r="R46" s="121"/>
      <c r="S46" s="122"/>
      <c r="T46" s="103" t="s">
        <v>153</v>
      </c>
      <c r="U46" s="102">
        <f>SUM(LEFT(T40,1)*U40,LEFT(T41,1)*U41,LEFT(T42,1)*U42,LEFT(T43,1)*U43,LEFT(T44,1)*U44)</f>
        <v>0</v>
      </c>
    </row>
    <row r="47" spans="2:21" ht="15.75" x14ac:dyDescent="0.25">
      <c r="J47" s="143"/>
      <c r="K47" s="16"/>
      <c r="L47" s="30">
        <f>L38</f>
        <v>9.6389999999999993</v>
      </c>
      <c r="M47" s="31" t="e">
        <f>M38</f>
        <v>#DIV/0!</v>
      </c>
      <c r="O47" s="137"/>
      <c r="P47" s="138"/>
      <c r="Q47" s="120"/>
      <c r="R47" s="121"/>
      <c r="S47" s="122"/>
      <c r="T47" s="105" t="s">
        <v>154</v>
      </c>
      <c r="U47">
        <f>I42-U46</f>
        <v>0</v>
      </c>
    </row>
    <row r="48" spans="2:21" ht="15.75" x14ac:dyDescent="0.25">
      <c r="J48" s="144"/>
      <c r="K48" s="18"/>
      <c r="L48" s="10"/>
      <c r="M48" s="14"/>
      <c r="O48" s="139"/>
      <c r="P48" s="140"/>
      <c r="Q48" s="120"/>
      <c r="R48" s="121"/>
      <c r="S48" s="122"/>
    </row>
    <row r="50" spans="19:21" ht="16.5" x14ac:dyDescent="0.25">
      <c r="S50" s="109" t="s">
        <v>155</v>
      </c>
      <c r="U50" s="108">
        <f>U14+U30+U47</f>
        <v>19</v>
      </c>
    </row>
  </sheetData>
  <mergeCells count="65">
    <mergeCell ref="Q3:S3"/>
    <mergeCell ref="O4:P4"/>
    <mergeCell ref="B5:F5"/>
    <mergeCell ref="O5:P5"/>
    <mergeCell ref="B6:D6"/>
    <mergeCell ref="O6:P6"/>
    <mergeCell ref="B12:F12"/>
    <mergeCell ref="O12:P12"/>
    <mergeCell ref="B2:D2"/>
    <mergeCell ref="B3:D3"/>
    <mergeCell ref="J3:J15"/>
    <mergeCell ref="O3:P3"/>
    <mergeCell ref="B7:D7"/>
    <mergeCell ref="O7:P9"/>
    <mergeCell ref="B8:D8"/>
    <mergeCell ref="O10:P10"/>
    <mergeCell ref="O11:P11"/>
    <mergeCell ref="B13:F13"/>
    <mergeCell ref="O13:P15"/>
    <mergeCell ref="B19:F19"/>
    <mergeCell ref="J19:J31"/>
    <mergeCell ref="O19:P19"/>
    <mergeCell ref="Q19:S19"/>
    <mergeCell ref="O20:P20"/>
    <mergeCell ref="O21:P21"/>
    <mergeCell ref="O22:P22"/>
    <mergeCell ref="O23:P25"/>
    <mergeCell ref="B24:D24"/>
    <mergeCell ref="B31:E31"/>
    <mergeCell ref="Q31:S31"/>
    <mergeCell ref="B25:E25"/>
    <mergeCell ref="B26:E26"/>
    <mergeCell ref="O26:P26"/>
    <mergeCell ref="B32:E32"/>
    <mergeCell ref="B27:F27"/>
    <mergeCell ref="O27:P27"/>
    <mergeCell ref="B28:E28"/>
    <mergeCell ref="O28:P28"/>
    <mergeCell ref="B29:E29"/>
    <mergeCell ref="O29:P31"/>
    <mergeCell ref="B30:F30"/>
    <mergeCell ref="O44:P44"/>
    <mergeCell ref="O45:P45"/>
    <mergeCell ref="O46:P48"/>
    <mergeCell ref="Q13:S13"/>
    <mergeCell ref="Q14:S14"/>
    <mergeCell ref="Q15:S15"/>
    <mergeCell ref="Q29:S29"/>
    <mergeCell ref="Q30:S30"/>
    <mergeCell ref="B34:F34"/>
    <mergeCell ref="B35:F35"/>
    <mergeCell ref="J36:J48"/>
    <mergeCell ref="O36:P36"/>
    <mergeCell ref="Q36:S36"/>
    <mergeCell ref="O37:P37"/>
    <mergeCell ref="O38:P38"/>
    <mergeCell ref="O39:P39"/>
    <mergeCell ref="B40:E40"/>
    <mergeCell ref="O40:P42"/>
    <mergeCell ref="Q46:S46"/>
    <mergeCell ref="Q47:S47"/>
    <mergeCell ref="Q48:S48"/>
    <mergeCell ref="B41:E41"/>
    <mergeCell ref="B42:E42"/>
    <mergeCell ref="O43:P43"/>
  </mergeCells>
  <phoneticPr fontId="9"/>
  <conditionalFormatting sqref="B34:I42 J36:U48">
    <cfRule type="expression" dxfId="13" priority="1">
      <formula>IF($E$8="",TRUE)</formula>
    </cfRule>
  </conditionalFormatting>
  <conditionalFormatting sqref="J3:U15 B25:G25 B28:G28 B31:I31">
    <cfRule type="expression" dxfId="12" priority="3">
      <formula>IF($E$6="",TRUE)</formula>
    </cfRule>
  </conditionalFormatting>
  <conditionalFormatting sqref="J19:U31 B26:G26 B29:G29 B32:I32">
    <cfRule type="expression" dxfId="11" priority="2">
      <formula>IF($E$7="",TRUE)</formula>
    </cfRule>
  </conditionalFormatting>
  <pageMargins left="0.7" right="0.7" top="0.75" bottom="0.75" header="0.3" footer="0.3"/>
  <pageSetup paperSize="9" scale="43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ECDB2495-0CC7-4823-8C70-7C21CCD2CC6C}">
          <x14:formula1>
            <xm:f>データ!$A$18:$A$22</xm:f>
          </x14:formula1>
          <xm:sqref>D10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E6C80-3040-4506-9457-B10E816AB3C1}">
  <sheetPr>
    <tabColor theme="9" tint="0.59999389629810485"/>
  </sheetPr>
  <dimension ref="B1:U50"/>
  <sheetViews>
    <sheetView view="pageBreakPreview" zoomScale="85" zoomScaleNormal="70" zoomScaleSheetLayoutView="85" workbookViewId="0">
      <selection activeCell="L6" sqref="L6"/>
    </sheetView>
  </sheetViews>
  <sheetFormatPr defaultRowHeight="13.5" x14ac:dyDescent="0.15"/>
  <cols>
    <col min="1" max="1" width="6.375" customWidth="1"/>
    <col min="2" max="2" width="10.375" customWidth="1"/>
    <col min="3" max="3" width="11.625" customWidth="1"/>
    <col min="4" max="4" width="11.75" customWidth="1"/>
    <col min="5" max="5" width="11.25" customWidth="1"/>
    <col min="6" max="6" width="11.75" customWidth="1"/>
    <col min="7" max="7" width="7.875" customWidth="1"/>
    <col min="8" max="8" width="6.75" customWidth="1"/>
    <col min="9" max="9" width="9" bestFit="1" customWidth="1"/>
    <col min="10" max="10" width="11.625" customWidth="1"/>
    <col min="11" max="11" width="11.375" bestFit="1" customWidth="1"/>
    <col min="12" max="13" width="10" customWidth="1"/>
    <col min="14" max="14" width="6.375" customWidth="1"/>
    <col min="17" max="17" width="13" customWidth="1"/>
    <col min="18" max="18" width="10.75" customWidth="1"/>
    <col min="19" max="19" width="12.375" customWidth="1"/>
    <col min="20" max="20" width="6.375" customWidth="1"/>
    <col min="21" max="21" width="6" customWidth="1"/>
  </cols>
  <sheetData>
    <row r="1" spans="2:21" ht="15.75" x14ac:dyDescent="0.25">
      <c r="B1" s="8" t="s">
        <v>0</v>
      </c>
      <c r="C1" s="1"/>
      <c r="D1" s="1"/>
      <c r="E1" s="1"/>
      <c r="F1" s="1"/>
    </row>
    <row r="2" spans="2:21" ht="15.75" customHeight="1" x14ac:dyDescent="0.25">
      <c r="B2" s="123" t="s">
        <v>69</v>
      </c>
      <c r="C2" s="123"/>
      <c r="D2" s="123"/>
      <c r="E2" s="19">
        <v>0.15</v>
      </c>
      <c r="F2" s="1" t="s">
        <v>1</v>
      </c>
    </row>
    <row r="3" spans="2:21" ht="15.75" customHeight="1" x14ac:dyDescent="0.25">
      <c r="B3" s="123" t="s">
        <v>53</v>
      </c>
      <c r="C3" s="123"/>
      <c r="D3" s="123"/>
      <c r="E3" s="19"/>
      <c r="F3" s="1" t="s">
        <v>1</v>
      </c>
      <c r="J3" s="159" t="s">
        <v>70</v>
      </c>
      <c r="K3" s="40" t="s">
        <v>41</v>
      </c>
      <c r="L3" s="39"/>
      <c r="M3" s="41"/>
      <c r="O3" s="157" t="s">
        <v>18</v>
      </c>
      <c r="P3" s="157"/>
      <c r="Q3" s="145" t="s">
        <v>19</v>
      </c>
      <c r="R3" s="158"/>
      <c r="S3" s="146"/>
    </row>
    <row r="4" spans="2:21" ht="15.75" customHeight="1" x14ac:dyDescent="0.25">
      <c r="J4" s="159"/>
      <c r="K4" s="30">
        <f>1/E2/E6</f>
        <v>13.333333333333334</v>
      </c>
      <c r="L4" s="23">
        <v>2</v>
      </c>
      <c r="M4" s="31">
        <f>K4/L4</f>
        <v>6.666666666666667</v>
      </c>
      <c r="O4" s="145" t="s">
        <v>20</v>
      </c>
      <c r="P4" s="146"/>
      <c r="Q4" s="5" t="s">
        <v>27</v>
      </c>
      <c r="R4" s="24">
        <v>80</v>
      </c>
      <c r="S4" s="5" t="s">
        <v>29</v>
      </c>
    </row>
    <row r="5" spans="2:21" ht="15.75" customHeight="1" x14ac:dyDescent="0.25">
      <c r="B5" s="133" t="s">
        <v>2</v>
      </c>
      <c r="C5" s="133"/>
      <c r="D5" s="133"/>
      <c r="E5" s="133"/>
      <c r="F5" s="133"/>
      <c r="J5" s="159"/>
      <c r="K5" s="16"/>
      <c r="L5" s="23">
        <v>20.350000000000001</v>
      </c>
      <c r="M5" s="31">
        <f>L5/K4</f>
        <v>1.5262500000000001</v>
      </c>
      <c r="O5" s="145" t="s">
        <v>21</v>
      </c>
      <c r="P5" s="146"/>
      <c r="Q5" s="5" t="s">
        <v>28</v>
      </c>
      <c r="R5" s="24">
        <v>200</v>
      </c>
      <c r="S5" s="5"/>
    </row>
    <row r="6" spans="2:21" ht="15.75" customHeight="1" x14ac:dyDescent="0.25">
      <c r="B6" s="123" t="s">
        <v>72</v>
      </c>
      <c r="C6" s="123"/>
      <c r="D6" s="123"/>
      <c r="E6" s="19">
        <v>0.5</v>
      </c>
      <c r="F6" s="1" t="s">
        <v>3</v>
      </c>
      <c r="J6" s="159"/>
      <c r="K6" s="17" t="s">
        <v>42</v>
      </c>
      <c r="L6" s="1"/>
      <c r="M6" s="13"/>
      <c r="O6" s="145" t="s">
        <v>25</v>
      </c>
      <c r="P6" s="146"/>
      <c r="Q6" s="5" t="s">
        <v>71</v>
      </c>
      <c r="R6" s="32">
        <f>E2*1000</f>
        <v>150</v>
      </c>
      <c r="S6" s="5" t="s">
        <v>34</v>
      </c>
      <c r="T6" s="101" t="s">
        <v>152</v>
      </c>
    </row>
    <row r="7" spans="2:21" ht="15.75" customHeight="1" x14ac:dyDescent="0.25">
      <c r="B7" s="123" t="s">
        <v>63</v>
      </c>
      <c r="C7" s="123"/>
      <c r="D7" s="123"/>
      <c r="E7" s="19"/>
      <c r="F7" s="1" t="s">
        <v>3</v>
      </c>
      <c r="J7" s="159"/>
      <c r="K7" s="30">
        <f>2/E2/E6</f>
        <v>26.666666666666668</v>
      </c>
      <c r="L7" s="30">
        <f>L4</f>
        <v>2</v>
      </c>
      <c r="M7" s="31">
        <f>K7/L7</f>
        <v>13.333333333333334</v>
      </c>
      <c r="O7" s="147" t="s">
        <v>22</v>
      </c>
      <c r="P7" s="148"/>
      <c r="Q7" s="5" t="s">
        <v>30</v>
      </c>
      <c r="R7" s="32">
        <f>E6*1000</f>
        <v>500</v>
      </c>
      <c r="S7" s="5" t="s">
        <v>35</v>
      </c>
      <c r="T7" s="100" t="s">
        <v>147</v>
      </c>
      <c r="U7" s="104"/>
    </row>
    <row r="8" spans="2:21" ht="15.75" customHeight="1" x14ac:dyDescent="0.25">
      <c r="B8" s="123" t="s">
        <v>54</v>
      </c>
      <c r="C8" s="123"/>
      <c r="D8" s="123"/>
      <c r="E8" s="19"/>
      <c r="F8" s="1" t="s">
        <v>3</v>
      </c>
      <c r="J8" s="159"/>
      <c r="K8" s="16"/>
      <c r="L8" s="30">
        <f>L5</f>
        <v>20.350000000000001</v>
      </c>
      <c r="M8" s="31">
        <f>M5</f>
        <v>1.5262500000000001</v>
      </c>
      <c r="O8" s="149"/>
      <c r="P8" s="150"/>
      <c r="Q8" s="5" t="s">
        <v>31</v>
      </c>
      <c r="R8" s="33">
        <f>E10-R23</f>
        <v>0</v>
      </c>
      <c r="S8" s="5" t="s">
        <v>35</v>
      </c>
      <c r="T8" s="100" t="s">
        <v>148</v>
      </c>
      <c r="U8" s="104"/>
    </row>
    <row r="9" spans="2:21" ht="15.75" customHeight="1" x14ac:dyDescent="0.25">
      <c r="B9" s="9"/>
      <c r="C9" s="9"/>
      <c r="D9" s="9"/>
      <c r="E9" s="4"/>
      <c r="F9" s="1"/>
      <c r="J9" s="159"/>
      <c r="K9" s="17" t="s">
        <v>43</v>
      </c>
      <c r="L9" s="1"/>
      <c r="M9" s="13"/>
      <c r="O9" s="151"/>
      <c r="P9" s="152"/>
      <c r="Q9" s="5" t="s">
        <v>32</v>
      </c>
      <c r="R9" s="33">
        <f>E10-R23-R7</f>
        <v>-500</v>
      </c>
      <c r="S9" s="5" t="s">
        <v>35</v>
      </c>
      <c r="T9" s="100" t="s">
        <v>149</v>
      </c>
      <c r="U9" s="104"/>
    </row>
    <row r="10" spans="2:21" ht="15.75" customHeight="1" x14ac:dyDescent="0.25">
      <c r="B10" s="11" t="s">
        <v>62</v>
      </c>
      <c r="C10" s="11"/>
      <c r="D10" s="11"/>
      <c r="E10" s="20"/>
      <c r="F10" s="1" t="s">
        <v>35</v>
      </c>
      <c r="J10" s="159"/>
      <c r="K10" s="30">
        <f>3/E2/E6</f>
        <v>40</v>
      </c>
      <c r="L10" s="30">
        <f>L4</f>
        <v>2</v>
      </c>
      <c r="M10" s="31">
        <f>K10/L10</f>
        <v>20</v>
      </c>
      <c r="O10" s="145" t="s">
        <v>23</v>
      </c>
      <c r="P10" s="146"/>
      <c r="Q10" s="5" t="s">
        <v>33</v>
      </c>
      <c r="R10" s="33">
        <f>ROUNDUP(F25,0)</f>
        <v>83</v>
      </c>
      <c r="S10" s="5" t="s">
        <v>36</v>
      </c>
      <c r="T10" s="100" t="s">
        <v>150</v>
      </c>
      <c r="U10" s="104"/>
    </row>
    <row r="11" spans="2:21" ht="15.75" customHeight="1" x14ac:dyDescent="0.25">
      <c r="B11" s="9"/>
      <c r="C11" s="9"/>
      <c r="D11" s="9"/>
      <c r="E11" s="4"/>
      <c r="F11" s="1"/>
      <c r="J11" s="159"/>
      <c r="K11" s="16"/>
      <c r="L11" s="30">
        <f>L5</f>
        <v>20.350000000000001</v>
      </c>
      <c r="M11" s="31">
        <f>M5</f>
        <v>1.5262500000000001</v>
      </c>
      <c r="O11" s="145" t="s">
        <v>24</v>
      </c>
      <c r="P11" s="146"/>
      <c r="Q11" s="5" t="s">
        <v>33</v>
      </c>
      <c r="R11" s="33">
        <f>ROUNDUP(F28,0)</f>
        <v>42</v>
      </c>
      <c r="S11" s="5" t="s">
        <v>37</v>
      </c>
      <c r="T11" s="100" t="s">
        <v>151</v>
      </c>
      <c r="U11" s="104"/>
    </row>
    <row r="12" spans="2:21" ht="15.75" customHeight="1" x14ac:dyDescent="0.25">
      <c r="B12" s="133" t="s">
        <v>16</v>
      </c>
      <c r="C12" s="133"/>
      <c r="D12" s="133"/>
      <c r="E12" s="133"/>
      <c r="F12" s="133"/>
      <c r="J12" s="159"/>
      <c r="K12" s="17" t="s">
        <v>44</v>
      </c>
      <c r="L12" s="1"/>
      <c r="M12" s="13"/>
      <c r="O12" s="145" t="s">
        <v>26</v>
      </c>
      <c r="P12" s="146"/>
      <c r="Q12" s="5" t="s">
        <v>33</v>
      </c>
      <c r="R12" s="24"/>
      <c r="S12" s="5" t="s">
        <v>38</v>
      </c>
    </row>
    <row r="13" spans="2:21" ht="15.75" customHeight="1" x14ac:dyDescent="0.25">
      <c r="B13" s="134" t="s">
        <v>145</v>
      </c>
      <c r="C13" s="134"/>
      <c r="D13" s="134"/>
      <c r="E13" s="134"/>
      <c r="F13" s="134"/>
      <c r="J13" s="159"/>
      <c r="K13" s="30">
        <f>4/E2/E6</f>
        <v>53.333333333333336</v>
      </c>
      <c r="L13" s="30">
        <f>L4</f>
        <v>2</v>
      </c>
      <c r="M13" s="31">
        <f>K13/L13</f>
        <v>26.666666666666668</v>
      </c>
      <c r="O13" s="147"/>
      <c r="P13" s="148"/>
      <c r="Q13" s="120" t="s">
        <v>40</v>
      </c>
      <c r="R13" s="121"/>
      <c r="S13" s="122"/>
      <c r="T13" s="103" t="s">
        <v>153</v>
      </c>
      <c r="U13" s="102">
        <f>SUM(LEFT(T7,1)*U7,LEFT(T8,1)*U8,LEFT(T9,1)*U9,LEFT(T10,1)*U10,LEFT(T11,1)*U11)</f>
        <v>0</v>
      </c>
    </row>
    <row r="14" spans="2:21" ht="15.75" customHeight="1" x14ac:dyDescent="0.25">
      <c r="B14" s="26" t="s">
        <v>7</v>
      </c>
      <c r="C14" s="26" t="s">
        <v>8</v>
      </c>
      <c r="D14" s="26" t="s">
        <v>9</v>
      </c>
      <c r="E14" s="26" t="s">
        <v>10</v>
      </c>
      <c r="F14" s="27" t="s">
        <v>11</v>
      </c>
      <c r="J14" s="159"/>
      <c r="K14" s="16"/>
      <c r="L14" s="30">
        <f>L5</f>
        <v>20.350000000000001</v>
      </c>
      <c r="M14" s="31">
        <f>M5</f>
        <v>1.5262500000000001</v>
      </c>
      <c r="O14" s="149"/>
      <c r="P14" s="150"/>
      <c r="Q14" s="120" t="s">
        <v>39</v>
      </c>
      <c r="R14" s="121"/>
      <c r="S14" s="122"/>
      <c r="T14" s="105" t="s">
        <v>154</v>
      </c>
      <c r="U14">
        <f>I31-U13</f>
        <v>7</v>
      </c>
    </row>
    <row r="15" spans="2:21" ht="15.75" customHeight="1" x14ac:dyDescent="0.25">
      <c r="B15" s="26">
        <v>1</v>
      </c>
      <c r="C15" s="21">
        <v>1</v>
      </c>
      <c r="D15" s="22">
        <v>1</v>
      </c>
      <c r="E15" s="22">
        <v>82.55</v>
      </c>
      <c r="F15" s="28">
        <f>IF(C15="","",C15*D15*E15)</f>
        <v>82.55</v>
      </c>
      <c r="J15" s="159"/>
      <c r="K15" s="18"/>
      <c r="L15" s="10"/>
      <c r="M15" s="14"/>
      <c r="O15" s="151"/>
      <c r="P15" s="152"/>
      <c r="Q15" s="120" t="s">
        <v>46</v>
      </c>
      <c r="R15" s="121"/>
      <c r="S15" s="122"/>
    </row>
    <row r="16" spans="2:21" ht="15.75" customHeight="1" x14ac:dyDescent="0.15">
      <c r="B16" s="26">
        <v>2</v>
      </c>
      <c r="C16" s="21"/>
      <c r="D16" s="22">
        <v>1</v>
      </c>
      <c r="E16" s="22"/>
      <c r="F16" s="28" t="str">
        <f>IF(C16="","",C16*D16*E16)</f>
        <v/>
      </c>
      <c r="H16" s="7"/>
    </row>
    <row r="17" spans="2:21" ht="15.75" customHeight="1" x14ac:dyDescent="0.15">
      <c r="F17" s="28">
        <f>SUM(F15:F16)</f>
        <v>82.55</v>
      </c>
    </row>
    <row r="18" spans="2:21" ht="15.75" customHeight="1" x14ac:dyDescent="0.15"/>
    <row r="19" spans="2:21" ht="15.75" customHeight="1" x14ac:dyDescent="0.25">
      <c r="B19" s="134" t="s">
        <v>146</v>
      </c>
      <c r="C19" s="134"/>
      <c r="D19" s="134"/>
      <c r="E19" s="134"/>
      <c r="F19" s="134"/>
      <c r="J19" s="154" t="s">
        <v>47</v>
      </c>
      <c r="K19" s="43" t="s">
        <v>41</v>
      </c>
      <c r="L19" s="42"/>
      <c r="M19" s="44"/>
      <c r="O19" s="125" t="s">
        <v>18</v>
      </c>
      <c r="P19" s="126"/>
      <c r="Q19" s="125" t="s">
        <v>64</v>
      </c>
      <c r="R19" s="153"/>
      <c r="S19" s="126"/>
    </row>
    <row r="20" spans="2:21" ht="15.75" customHeight="1" x14ac:dyDescent="0.25">
      <c r="B20" s="26" t="s">
        <v>7</v>
      </c>
      <c r="C20" s="26" t="s">
        <v>8</v>
      </c>
      <c r="D20" s="26" t="s">
        <v>9</v>
      </c>
      <c r="E20" s="26" t="s">
        <v>10</v>
      </c>
      <c r="F20" s="27" t="s">
        <v>11</v>
      </c>
      <c r="J20" s="155"/>
      <c r="K20" s="30" t="e">
        <f>1/E3/E7</f>
        <v>#DIV/0!</v>
      </c>
      <c r="L20" s="23">
        <v>5.51</v>
      </c>
      <c r="M20" s="31" t="e">
        <f>K20/L20</f>
        <v>#DIV/0!</v>
      </c>
      <c r="O20" s="125" t="s">
        <v>20</v>
      </c>
      <c r="P20" s="126"/>
      <c r="Q20" s="5" t="s">
        <v>27</v>
      </c>
      <c r="R20" s="32">
        <f>R4</f>
        <v>80</v>
      </c>
      <c r="S20" s="5" t="s">
        <v>29</v>
      </c>
    </row>
    <row r="21" spans="2:21" ht="15.75" customHeight="1" x14ac:dyDescent="0.25">
      <c r="B21" s="26">
        <v>1</v>
      </c>
      <c r="C21" s="21"/>
      <c r="D21" s="22">
        <v>1</v>
      </c>
      <c r="E21" s="22"/>
      <c r="F21" s="28" t="str">
        <f>IF(C21="","",C21*D21*E21)</f>
        <v/>
      </c>
      <c r="J21" s="155"/>
      <c r="K21" s="16"/>
      <c r="L21" s="23">
        <v>9.6389999999999993</v>
      </c>
      <c r="M21" s="31" t="e">
        <f>L21/K20</f>
        <v>#DIV/0!</v>
      </c>
      <c r="O21" s="125" t="s">
        <v>21</v>
      </c>
      <c r="P21" s="126"/>
      <c r="Q21" s="5" t="s">
        <v>28</v>
      </c>
      <c r="R21" s="32">
        <f>R5</f>
        <v>200</v>
      </c>
      <c r="S21" s="5"/>
    </row>
    <row r="22" spans="2:21" ht="15.75" customHeight="1" x14ac:dyDescent="0.25">
      <c r="B22" s="26">
        <v>2</v>
      </c>
      <c r="C22" s="21"/>
      <c r="D22" s="22">
        <v>1</v>
      </c>
      <c r="E22" s="22"/>
      <c r="F22" s="28" t="str">
        <f t="shared" ref="F22" si="0">IF(C22="","",C22*D22*E22)</f>
        <v/>
      </c>
      <c r="J22" s="155"/>
      <c r="K22" s="17" t="s">
        <v>42</v>
      </c>
      <c r="L22" s="1"/>
      <c r="M22" s="13"/>
      <c r="O22" s="125" t="s">
        <v>25</v>
      </c>
      <c r="P22" s="126"/>
      <c r="Q22" s="5" t="s">
        <v>67</v>
      </c>
      <c r="R22" s="32">
        <f>E3*1000</f>
        <v>0</v>
      </c>
      <c r="S22" s="5" t="s">
        <v>34</v>
      </c>
      <c r="T22" s="101" t="s">
        <v>152</v>
      </c>
    </row>
    <row r="23" spans="2:21" ht="15.75" customHeight="1" x14ac:dyDescent="0.25">
      <c r="F23" s="28">
        <f>SUM(F21:F22)</f>
        <v>0</v>
      </c>
      <c r="J23" s="155"/>
      <c r="K23" s="30" t="e">
        <f>2/E3/E7</f>
        <v>#DIV/0!</v>
      </c>
      <c r="L23" s="30">
        <f>L20</f>
        <v>5.51</v>
      </c>
      <c r="M23" s="31" t="e">
        <f>K23/L23</f>
        <v>#DIV/0!</v>
      </c>
      <c r="O23" s="127" t="s">
        <v>22</v>
      </c>
      <c r="P23" s="128"/>
      <c r="Q23" s="5" t="s">
        <v>30</v>
      </c>
      <c r="R23" s="32">
        <f>E7*1000</f>
        <v>0</v>
      </c>
      <c r="S23" s="5" t="s">
        <v>35</v>
      </c>
      <c r="T23" s="100" t="s">
        <v>147</v>
      </c>
      <c r="U23" s="104"/>
    </row>
    <row r="24" spans="2:21" ht="15.75" customHeight="1" x14ac:dyDescent="0.25">
      <c r="B24" s="123"/>
      <c r="C24" s="123"/>
      <c r="D24" s="123"/>
      <c r="E24" s="7"/>
      <c r="F24" s="10"/>
      <c r="J24" s="155"/>
      <c r="K24" s="16"/>
      <c r="L24" s="30">
        <f>L21</f>
        <v>9.6389999999999993</v>
      </c>
      <c r="M24" s="31" t="e">
        <f>M21</f>
        <v>#DIV/0!</v>
      </c>
      <c r="O24" s="129"/>
      <c r="P24" s="130"/>
      <c r="Q24" s="5" t="s">
        <v>31</v>
      </c>
      <c r="R24" s="33">
        <f>E10</f>
        <v>0</v>
      </c>
      <c r="S24" s="5" t="s">
        <v>35</v>
      </c>
      <c r="T24" s="100" t="s">
        <v>148</v>
      </c>
      <c r="U24" s="104"/>
    </row>
    <row r="25" spans="2:21" ht="15.75" customHeight="1" x14ac:dyDescent="0.35">
      <c r="B25" s="123" t="s">
        <v>73</v>
      </c>
      <c r="C25" s="123"/>
      <c r="D25" s="123"/>
      <c r="E25" s="123"/>
      <c r="F25" s="29">
        <f>F17</f>
        <v>82.55</v>
      </c>
      <c r="G25" s="2" t="s">
        <v>4</v>
      </c>
      <c r="J25" s="155"/>
      <c r="K25" s="17" t="s">
        <v>43</v>
      </c>
      <c r="L25" s="1"/>
      <c r="M25" s="13"/>
      <c r="O25" s="131"/>
      <c r="P25" s="132"/>
      <c r="Q25" s="5" t="s">
        <v>32</v>
      </c>
      <c r="R25" s="33">
        <f>E10-R23</f>
        <v>0</v>
      </c>
      <c r="S25" s="5" t="s">
        <v>35</v>
      </c>
      <c r="T25" s="100" t="s">
        <v>149</v>
      </c>
      <c r="U25" s="104"/>
    </row>
    <row r="26" spans="2:21" ht="15.75" customHeight="1" x14ac:dyDescent="0.35">
      <c r="B26" s="123" t="s">
        <v>6</v>
      </c>
      <c r="C26" s="123"/>
      <c r="D26" s="123"/>
      <c r="E26" s="123"/>
      <c r="F26" s="29">
        <f>F23</f>
        <v>0</v>
      </c>
      <c r="G26" s="2" t="s">
        <v>4</v>
      </c>
      <c r="J26" s="155"/>
      <c r="K26" s="30" t="e">
        <f>3/E3/E7</f>
        <v>#DIV/0!</v>
      </c>
      <c r="L26" s="30">
        <f>L20</f>
        <v>5.51</v>
      </c>
      <c r="M26" s="31" t="e">
        <f>K26/L26</f>
        <v>#DIV/0!</v>
      </c>
      <c r="O26" s="125" t="s">
        <v>23</v>
      </c>
      <c r="P26" s="126"/>
      <c r="Q26" s="5" t="s">
        <v>68</v>
      </c>
      <c r="R26" s="34">
        <f>ROUNDUP(F26,0)</f>
        <v>0</v>
      </c>
      <c r="S26" s="5" t="s">
        <v>36</v>
      </c>
      <c r="T26" s="100" t="s">
        <v>150</v>
      </c>
      <c r="U26" s="104"/>
    </row>
    <row r="27" spans="2:21" ht="15.75" customHeight="1" x14ac:dyDescent="0.25">
      <c r="B27" s="133" t="s">
        <v>48</v>
      </c>
      <c r="C27" s="133"/>
      <c r="D27" s="133"/>
      <c r="E27" s="133"/>
      <c r="F27" s="133"/>
      <c r="J27" s="155"/>
      <c r="K27" s="16"/>
      <c r="L27" s="30">
        <f>L21</f>
        <v>9.6389999999999993</v>
      </c>
      <c r="M27" s="31" t="e">
        <f>M21</f>
        <v>#DIV/0!</v>
      </c>
      <c r="O27" s="125" t="s">
        <v>24</v>
      </c>
      <c r="P27" s="126"/>
      <c r="Q27" s="5" t="s">
        <v>68</v>
      </c>
      <c r="R27" s="34">
        <f>ROUNDUP(F29,0)</f>
        <v>0</v>
      </c>
      <c r="S27" s="5" t="s">
        <v>37</v>
      </c>
      <c r="T27" s="100" t="s">
        <v>151</v>
      </c>
      <c r="U27" s="104"/>
    </row>
    <row r="28" spans="2:21" ht="15.75" customHeight="1" x14ac:dyDescent="0.35">
      <c r="B28" s="123" t="s">
        <v>74</v>
      </c>
      <c r="C28" s="123"/>
      <c r="D28" s="123"/>
      <c r="E28" s="124"/>
      <c r="F28" s="29">
        <f>PRODUCT(F25,E6)</f>
        <v>41.274999999999999</v>
      </c>
      <c r="G28" s="2" t="s">
        <v>12</v>
      </c>
      <c r="J28" s="155"/>
      <c r="K28" s="17" t="s">
        <v>44</v>
      </c>
      <c r="L28" s="1"/>
      <c r="M28" s="13"/>
      <c r="O28" s="125" t="s">
        <v>26</v>
      </c>
      <c r="P28" s="126"/>
      <c r="Q28" s="5" t="s">
        <v>68</v>
      </c>
      <c r="R28" s="24"/>
      <c r="S28" s="5" t="s">
        <v>38</v>
      </c>
    </row>
    <row r="29" spans="2:21" ht="15.75" customHeight="1" x14ac:dyDescent="0.4">
      <c r="B29" s="123" t="s">
        <v>14</v>
      </c>
      <c r="C29" s="123"/>
      <c r="D29" s="123"/>
      <c r="E29" s="123"/>
      <c r="F29" s="29">
        <f>PRODUCT(F26,E7)</f>
        <v>0</v>
      </c>
      <c r="G29" s="2" t="s">
        <v>12</v>
      </c>
      <c r="J29" s="155"/>
      <c r="K29" s="30" t="e">
        <f>4/E3/E7</f>
        <v>#DIV/0!</v>
      </c>
      <c r="L29" s="30">
        <f>L20</f>
        <v>5.51</v>
      </c>
      <c r="M29" s="31" t="e">
        <f>K29/L29</f>
        <v>#DIV/0!</v>
      </c>
      <c r="O29" s="127"/>
      <c r="P29" s="128"/>
      <c r="Q29" s="120" t="s">
        <v>45</v>
      </c>
      <c r="R29" s="121"/>
      <c r="S29" s="122"/>
      <c r="T29" s="103" t="s">
        <v>153</v>
      </c>
      <c r="U29" s="102">
        <f>SUM(LEFT(T23,1)*U23,LEFT(T24,1)*U24,LEFT(T25,1)*U25,LEFT(T26,1)*U26,LEFT(T27,1)*U27)</f>
        <v>0</v>
      </c>
    </row>
    <row r="30" spans="2:21" ht="15.75" customHeight="1" x14ac:dyDescent="0.25">
      <c r="B30" s="133" t="s">
        <v>49</v>
      </c>
      <c r="C30" s="133"/>
      <c r="D30" s="133"/>
      <c r="E30" s="133"/>
      <c r="F30" s="133"/>
      <c r="J30" s="155"/>
      <c r="K30" s="16"/>
      <c r="L30" s="30">
        <f>L21</f>
        <v>9.6389999999999993</v>
      </c>
      <c r="M30" s="31" t="e">
        <f>M21</f>
        <v>#DIV/0!</v>
      </c>
      <c r="O30" s="129"/>
      <c r="P30" s="130"/>
      <c r="Q30" s="120" t="s">
        <v>39</v>
      </c>
      <c r="R30" s="121"/>
      <c r="S30" s="122"/>
      <c r="T30" s="105" t="s">
        <v>154</v>
      </c>
      <c r="U30">
        <f>I32-U29</f>
        <v>0</v>
      </c>
    </row>
    <row r="31" spans="2:21" ht="15.75" customHeight="1" x14ac:dyDescent="0.35">
      <c r="B31" s="123" t="s">
        <v>75</v>
      </c>
      <c r="C31" s="123"/>
      <c r="D31" s="123"/>
      <c r="E31" s="123"/>
      <c r="F31" s="29">
        <f>PRODUCT(F28,E2)</f>
        <v>6.1912499999999993</v>
      </c>
      <c r="G31" s="1" t="s">
        <v>13</v>
      </c>
      <c r="H31" s="3" t="s">
        <v>17</v>
      </c>
      <c r="I31" s="15">
        <f>ROUNDUP(F31+F31*2%,0)</f>
        <v>7</v>
      </c>
      <c r="J31" s="156"/>
      <c r="K31" s="18"/>
      <c r="L31" s="10"/>
      <c r="M31" s="14"/>
      <c r="O31" s="131"/>
      <c r="P31" s="132"/>
      <c r="Q31" s="120" t="s">
        <v>46</v>
      </c>
      <c r="R31" s="121"/>
      <c r="S31" s="122"/>
    </row>
    <row r="32" spans="2:21" ht="15.75" customHeight="1" x14ac:dyDescent="0.35">
      <c r="B32" s="123" t="s">
        <v>15</v>
      </c>
      <c r="C32" s="123"/>
      <c r="D32" s="123"/>
      <c r="E32" s="123"/>
      <c r="F32" s="29">
        <f>PRODUCT(F29,E3)</f>
        <v>0</v>
      </c>
      <c r="G32" s="1" t="s">
        <v>13</v>
      </c>
      <c r="H32" s="3" t="s">
        <v>17</v>
      </c>
      <c r="I32" s="15">
        <f>ROUNDUP(F32+F32*2%,0)</f>
        <v>0</v>
      </c>
    </row>
    <row r="33" spans="2:21" ht="15.75" customHeight="1" x14ac:dyDescent="0.15"/>
    <row r="34" spans="2:21" ht="15.75" customHeight="1" x14ac:dyDescent="0.25">
      <c r="B34" s="133" t="s">
        <v>51</v>
      </c>
      <c r="C34" s="133"/>
      <c r="D34" s="133"/>
      <c r="E34" s="133"/>
      <c r="F34" s="133"/>
    </row>
    <row r="35" spans="2:21" ht="15.75" customHeight="1" x14ac:dyDescent="0.25">
      <c r="B35" s="134" t="s">
        <v>50</v>
      </c>
      <c r="C35" s="134"/>
      <c r="D35" s="134"/>
      <c r="E35" s="134"/>
      <c r="F35" s="134"/>
    </row>
    <row r="36" spans="2:21" ht="15.75" customHeight="1" x14ac:dyDescent="0.25">
      <c r="B36" s="26" t="s">
        <v>7</v>
      </c>
      <c r="C36" s="26" t="s">
        <v>8</v>
      </c>
      <c r="D36" s="26" t="s">
        <v>9</v>
      </c>
      <c r="E36" s="26" t="s">
        <v>10</v>
      </c>
      <c r="F36" s="27" t="s">
        <v>11</v>
      </c>
      <c r="J36" s="142" t="s">
        <v>61</v>
      </c>
      <c r="K36" s="45" t="s">
        <v>41</v>
      </c>
      <c r="L36" s="46"/>
      <c r="M36" s="47"/>
      <c r="O36" s="118" t="s">
        <v>18</v>
      </c>
      <c r="P36" s="119"/>
      <c r="Q36" s="118" t="s">
        <v>65</v>
      </c>
      <c r="R36" s="141"/>
      <c r="S36" s="119"/>
    </row>
    <row r="37" spans="2:21" ht="15.75" customHeight="1" x14ac:dyDescent="0.25">
      <c r="B37" s="26">
        <v>1</v>
      </c>
      <c r="C37" s="21"/>
      <c r="D37" s="22"/>
      <c r="E37" s="22"/>
      <c r="F37" s="28" t="str">
        <f t="shared" ref="F37:F38" si="1">IF(C37="","",C37*D37*E37)</f>
        <v/>
      </c>
      <c r="J37" s="143"/>
      <c r="K37" s="30" t="e">
        <f>1/E3/E8</f>
        <v>#DIV/0!</v>
      </c>
      <c r="L37" s="23">
        <v>5.51</v>
      </c>
      <c r="M37" s="31" t="e">
        <f>K37/L37</f>
        <v>#DIV/0!</v>
      </c>
      <c r="O37" s="118" t="s">
        <v>20</v>
      </c>
      <c r="P37" s="119"/>
      <c r="Q37" s="5" t="s">
        <v>27</v>
      </c>
      <c r="R37" s="35">
        <f>R21</f>
        <v>200</v>
      </c>
      <c r="S37" s="5" t="s">
        <v>29</v>
      </c>
    </row>
    <row r="38" spans="2:21" ht="15.75" customHeight="1" x14ac:dyDescent="0.25">
      <c r="B38" s="26">
        <v>2</v>
      </c>
      <c r="C38" s="21"/>
      <c r="D38" s="22"/>
      <c r="E38" s="22"/>
      <c r="F38" s="28" t="str">
        <f t="shared" si="1"/>
        <v/>
      </c>
      <c r="J38" s="143"/>
      <c r="K38" s="16"/>
      <c r="L38" s="23">
        <v>9.6389999999999993</v>
      </c>
      <c r="M38" s="31" t="e">
        <f>L38/K37</f>
        <v>#DIV/0!</v>
      </c>
      <c r="O38" s="118" t="s">
        <v>21</v>
      </c>
      <c r="P38" s="119"/>
      <c r="Q38" s="5" t="s">
        <v>28</v>
      </c>
      <c r="R38" s="35">
        <f>R22</f>
        <v>0</v>
      </c>
      <c r="S38" s="5"/>
    </row>
    <row r="39" spans="2:21" ht="15.75" customHeight="1" x14ac:dyDescent="0.25">
      <c r="F39" s="28">
        <f>SUM(F37:F38)</f>
        <v>0</v>
      </c>
      <c r="J39" s="143"/>
      <c r="K39" s="17" t="s">
        <v>42</v>
      </c>
      <c r="L39" s="1"/>
      <c r="M39" s="13"/>
      <c r="O39" s="118" t="s">
        <v>25</v>
      </c>
      <c r="P39" s="119"/>
      <c r="Q39" s="5"/>
      <c r="R39" s="36" t="s">
        <v>66</v>
      </c>
      <c r="S39" s="5" t="s">
        <v>34</v>
      </c>
      <c r="T39" s="101" t="s">
        <v>152</v>
      </c>
    </row>
    <row r="40" spans="2:21" ht="18" x14ac:dyDescent="0.25">
      <c r="B40" s="123" t="s">
        <v>58</v>
      </c>
      <c r="C40" s="123"/>
      <c r="D40" s="123"/>
      <c r="E40" s="123"/>
      <c r="F40" s="29">
        <f>F39</f>
        <v>0</v>
      </c>
      <c r="G40" s="2" t="s">
        <v>4</v>
      </c>
      <c r="J40" s="143"/>
      <c r="K40" s="30" t="e">
        <f>2/E3/E8</f>
        <v>#DIV/0!</v>
      </c>
      <c r="L40" s="30">
        <f>L37</f>
        <v>5.51</v>
      </c>
      <c r="M40" s="31" t="e">
        <f>K40/L40</f>
        <v>#DIV/0!</v>
      </c>
      <c r="O40" s="135" t="s">
        <v>22</v>
      </c>
      <c r="P40" s="136"/>
      <c r="Q40" s="5"/>
      <c r="R40" s="35" t="s">
        <v>66</v>
      </c>
      <c r="S40" s="5" t="s">
        <v>35</v>
      </c>
      <c r="T40" s="100" t="s">
        <v>147</v>
      </c>
      <c r="U40" s="104"/>
    </row>
    <row r="41" spans="2:21" ht="18" x14ac:dyDescent="0.25">
      <c r="B41" s="123" t="s">
        <v>59</v>
      </c>
      <c r="C41" s="123"/>
      <c r="D41" s="123"/>
      <c r="E41" s="123"/>
      <c r="F41" s="29">
        <f>PRODUCT(F40,E8)</f>
        <v>0</v>
      </c>
      <c r="G41" s="2" t="s">
        <v>12</v>
      </c>
      <c r="H41" s="3"/>
      <c r="J41" s="143"/>
      <c r="K41" s="16"/>
      <c r="L41" s="30">
        <f>L38</f>
        <v>9.6389999999999993</v>
      </c>
      <c r="M41" s="31" t="e">
        <f>M38</f>
        <v>#DIV/0!</v>
      </c>
      <c r="O41" s="137"/>
      <c r="P41" s="138"/>
      <c r="Q41" s="5" t="s">
        <v>31</v>
      </c>
      <c r="R41" s="37" t="s">
        <v>66</v>
      </c>
      <c r="S41" s="5" t="s">
        <v>35</v>
      </c>
      <c r="T41" s="100" t="s">
        <v>148</v>
      </c>
      <c r="U41" s="104"/>
    </row>
    <row r="42" spans="2:21" ht="18.75" x14ac:dyDescent="0.25">
      <c r="B42" s="123" t="s">
        <v>60</v>
      </c>
      <c r="C42" s="123"/>
      <c r="D42" s="123"/>
      <c r="E42" s="123"/>
      <c r="F42" s="29">
        <f>F41*E3</f>
        <v>0</v>
      </c>
      <c r="G42" s="1" t="s">
        <v>13</v>
      </c>
      <c r="H42" s="3" t="s">
        <v>17</v>
      </c>
      <c r="I42" s="6">
        <f>ROUNDUP(F42+F42*2%,0)</f>
        <v>0</v>
      </c>
      <c r="J42" s="143"/>
      <c r="K42" s="17" t="s">
        <v>43</v>
      </c>
      <c r="L42" s="1"/>
      <c r="M42" s="13"/>
      <c r="O42" s="139"/>
      <c r="P42" s="140"/>
      <c r="Q42" s="5" t="s">
        <v>32</v>
      </c>
      <c r="R42" s="37" t="s">
        <v>66</v>
      </c>
      <c r="S42" s="5" t="s">
        <v>35</v>
      </c>
      <c r="T42" s="100" t="s">
        <v>149</v>
      </c>
      <c r="U42" s="104"/>
    </row>
    <row r="43" spans="2:21" ht="15.75" x14ac:dyDescent="0.25">
      <c r="J43" s="143"/>
      <c r="K43" s="30" t="e">
        <f>3/E3/E8</f>
        <v>#DIV/0!</v>
      </c>
      <c r="L43" s="30">
        <f>L37</f>
        <v>5.51</v>
      </c>
      <c r="M43" s="31" t="e">
        <f>K43/L43</f>
        <v>#DIV/0!</v>
      </c>
      <c r="O43" s="118" t="s">
        <v>23</v>
      </c>
      <c r="P43" s="119"/>
      <c r="Q43" s="5"/>
      <c r="R43" s="38">
        <f>ROUNDUP(F40,0)</f>
        <v>0</v>
      </c>
      <c r="S43" s="5" t="s">
        <v>36</v>
      </c>
      <c r="T43" s="100" t="s">
        <v>150</v>
      </c>
      <c r="U43" s="104"/>
    </row>
    <row r="44" spans="2:21" ht="15.75" x14ac:dyDescent="0.25">
      <c r="J44" s="143"/>
      <c r="K44" s="16"/>
      <c r="L44" s="30">
        <f>L38</f>
        <v>9.6389999999999993</v>
      </c>
      <c r="M44" s="31" t="e">
        <f>M38</f>
        <v>#DIV/0!</v>
      </c>
      <c r="O44" s="118" t="s">
        <v>24</v>
      </c>
      <c r="P44" s="119"/>
      <c r="Q44" s="5"/>
      <c r="R44" s="38">
        <f>ROUNDUP(F41,0)</f>
        <v>0</v>
      </c>
      <c r="S44" s="5" t="s">
        <v>37</v>
      </c>
      <c r="T44" s="100" t="s">
        <v>151</v>
      </c>
      <c r="U44" s="104"/>
    </row>
    <row r="45" spans="2:21" ht="18.75" x14ac:dyDescent="0.25">
      <c r="J45" s="143"/>
      <c r="K45" s="17" t="s">
        <v>44</v>
      </c>
      <c r="L45" s="1"/>
      <c r="M45" s="13"/>
      <c r="O45" s="118" t="s">
        <v>26</v>
      </c>
      <c r="P45" s="119"/>
      <c r="Q45" s="5"/>
      <c r="R45" s="25"/>
      <c r="S45" s="5" t="s">
        <v>38</v>
      </c>
    </row>
    <row r="46" spans="2:21" ht="15.75" x14ac:dyDescent="0.25">
      <c r="J46" s="143"/>
      <c r="K46" s="30" t="e">
        <f>4/E3/E8</f>
        <v>#DIV/0!</v>
      </c>
      <c r="L46" s="30">
        <f>L37</f>
        <v>5.51</v>
      </c>
      <c r="M46" s="31" t="e">
        <f>K46/L46</f>
        <v>#DIV/0!</v>
      </c>
      <c r="O46" s="135"/>
      <c r="P46" s="136"/>
      <c r="Q46" s="120"/>
      <c r="R46" s="121"/>
      <c r="S46" s="122"/>
      <c r="T46" s="103" t="s">
        <v>153</v>
      </c>
      <c r="U46" s="102">
        <f>SUM(LEFT(T40,1)*U40,LEFT(T41,1)*U41,LEFT(T42,1)*U42,LEFT(T43,1)*U43,LEFT(T44,1)*U44)</f>
        <v>0</v>
      </c>
    </row>
    <row r="47" spans="2:21" ht="15.75" x14ac:dyDescent="0.25">
      <c r="J47" s="143"/>
      <c r="K47" s="16"/>
      <c r="L47" s="30">
        <f>L38</f>
        <v>9.6389999999999993</v>
      </c>
      <c r="M47" s="31" t="e">
        <f>M38</f>
        <v>#DIV/0!</v>
      </c>
      <c r="O47" s="137"/>
      <c r="P47" s="138"/>
      <c r="Q47" s="120"/>
      <c r="R47" s="121"/>
      <c r="S47" s="122"/>
      <c r="T47" s="105" t="s">
        <v>154</v>
      </c>
      <c r="U47">
        <f>I42-U46</f>
        <v>0</v>
      </c>
    </row>
    <row r="48" spans="2:21" ht="15.75" x14ac:dyDescent="0.25">
      <c r="J48" s="144"/>
      <c r="K48" s="18"/>
      <c r="L48" s="10"/>
      <c r="M48" s="14"/>
      <c r="O48" s="139"/>
      <c r="P48" s="140"/>
      <c r="Q48" s="120"/>
      <c r="R48" s="121"/>
      <c r="S48" s="122"/>
    </row>
    <row r="50" spans="19:21" ht="16.5" x14ac:dyDescent="0.25">
      <c r="S50" s="109" t="s">
        <v>155</v>
      </c>
      <c r="U50" s="108">
        <f>U14+U30+U47</f>
        <v>7</v>
      </c>
    </row>
  </sheetData>
  <mergeCells count="65">
    <mergeCell ref="Q3:S3"/>
    <mergeCell ref="O4:P4"/>
    <mergeCell ref="B5:F5"/>
    <mergeCell ref="O5:P5"/>
    <mergeCell ref="B6:D6"/>
    <mergeCell ref="O6:P6"/>
    <mergeCell ref="B12:F12"/>
    <mergeCell ref="O12:P12"/>
    <mergeCell ref="B2:D2"/>
    <mergeCell ref="B3:D3"/>
    <mergeCell ref="J3:J15"/>
    <mergeCell ref="O3:P3"/>
    <mergeCell ref="B7:D7"/>
    <mergeCell ref="O7:P9"/>
    <mergeCell ref="B8:D8"/>
    <mergeCell ref="O10:P10"/>
    <mergeCell ref="O11:P11"/>
    <mergeCell ref="B13:F13"/>
    <mergeCell ref="O13:P15"/>
    <mergeCell ref="B19:F19"/>
    <mergeCell ref="J19:J31"/>
    <mergeCell ref="O19:P19"/>
    <mergeCell ref="Q19:S19"/>
    <mergeCell ref="O20:P20"/>
    <mergeCell ref="O21:P21"/>
    <mergeCell ref="O22:P22"/>
    <mergeCell ref="O23:P25"/>
    <mergeCell ref="B24:D24"/>
    <mergeCell ref="B31:E31"/>
    <mergeCell ref="Q31:S31"/>
    <mergeCell ref="B25:E25"/>
    <mergeCell ref="B26:E26"/>
    <mergeCell ref="O26:P26"/>
    <mergeCell ref="B32:E32"/>
    <mergeCell ref="B27:F27"/>
    <mergeCell ref="O27:P27"/>
    <mergeCell ref="B28:E28"/>
    <mergeCell ref="O28:P28"/>
    <mergeCell ref="B29:E29"/>
    <mergeCell ref="O29:P31"/>
    <mergeCell ref="B30:F30"/>
    <mergeCell ref="O44:P44"/>
    <mergeCell ref="O45:P45"/>
    <mergeCell ref="O46:P48"/>
    <mergeCell ref="Q13:S13"/>
    <mergeCell ref="Q14:S14"/>
    <mergeCell ref="Q15:S15"/>
    <mergeCell ref="Q29:S29"/>
    <mergeCell ref="Q30:S30"/>
    <mergeCell ref="B34:F34"/>
    <mergeCell ref="B35:F35"/>
    <mergeCell ref="J36:J48"/>
    <mergeCell ref="O36:P36"/>
    <mergeCell ref="Q36:S36"/>
    <mergeCell ref="O37:P37"/>
    <mergeCell ref="O38:P38"/>
    <mergeCell ref="O39:P39"/>
    <mergeCell ref="B40:E40"/>
    <mergeCell ref="O40:P42"/>
    <mergeCell ref="Q46:S46"/>
    <mergeCell ref="Q47:S47"/>
    <mergeCell ref="Q48:S48"/>
    <mergeCell ref="B41:E41"/>
    <mergeCell ref="B42:E42"/>
    <mergeCell ref="O43:P43"/>
  </mergeCells>
  <phoneticPr fontId="9"/>
  <conditionalFormatting sqref="B34:I42 J36:U48">
    <cfRule type="expression" dxfId="10" priority="1">
      <formula>IF($E$8="",TRUE)</formula>
    </cfRule>
  </conditionalFormatting>
  <conditionalFormatting sqref="J3:U15 B25:G25 B28:G28 B31:I31">
    <cfRule type="expression" dxfId="9" priority="3">
      <formula>IF($E$6="",TRUE)</formula>
    </cfRule>
  </conditionalFormatting>
  <conditionalFormatting sqref="J19:U31 B26:G26 B29:G29 B32:I32">
    <cfRule type="expression" dxfId="8" priority="2">
      <formula>IF($E$7="",TRUE)</formula>
    </cfRule>
  </conditionalFormatting>
  <pageMargins left="0.7" right="0.7" top="0.75" bottom="0.75" header="0.3" footer="0.3"/>
  <pageSetup paperSize="9" scale="43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9C7ABA-CC82-4AA7-9502-7119F8AAEA19}">
          <x14:formula1>
            <xm:f>データ!$A$18:$A$22</xm:f>
          </x14:formula1>
          <xm:sqref>D10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D0EE-8451-4181-A9BE-A9C10BD2684F}">
  <dimension ref="A1:P48"/>
  <sheetViews>
    <sheetView view="pageBreakPreview" zoomScale="70" zoomScaleNormal="55" zoomScaleSheetLayoutView="70" zoomScalePageLayoutView="40" workbookViewId="0">
      <selection activeCell="I17" sqref="I17"/>
    </sheetView>
  </sheetViews>
  <sheetFormatPr defaultColWidth="9" defaultRowHeight="13.5" x14ac:dyDescent="0.15"/>
  <cols>
    <col min="1" max="1" width="6.75" style="48" customWidth="1"/>
    <col min="2" max="2" width="7.75" style="48" customWidth="1"/>
    <col min="3" max="3" width="21.875" style="48" customWidth="1"/>
    <col min="4" max="4" width="17.375" style="48" customWidth="1"/>
    <col min="5" max="5" width="10.875" style="48" customWidth="1"/>
    <col min="6" max="6" width="16.75" style="48" customWidth="1"/>
    <col min="7" max="7" width="17.875" style="48" customWidth="1"/>
    <col min="8" max="8" width="13.75" style="48" customWidth="1"/>
    <col min="9" max="9" width="13.25" style="48" customWidth="1"/>
    <col min="10" max="10" width="16.25" style="50" customWidth="1"/>
    <col min="11" max="11" width="14.75" style="48" customWidth="1"/>
    <col min="12" max="12" width="10.75" style="48" customWidth="1"/>
    <col min="13" max="13" width="42.75" style="48" customWidth="1"/>
    <col min="14" max="14" width="41.75" style="48" customWidth="1"/>
    <col min="15" max="15" width="39.625" style="48" customWidth="1"/>
    <col min="16" max="16" width="11.25" style="48" customWidth="1"/>
    <col min="17" max="17" width="11.75" style="48" customWidth="1"/>
    <col min="18" max="18" width="12.125" style="48" customWidth="1"/>
    <col min="19" max="16384" width="9" style="48"/>
  </cols>
  <sheetData>
    <row r="1" spans="1:16" ht="21" customHeight="1" x14ac:dyDescent="0.15">
      <c r="B1" s="94" t="s">
        <v>76</v>
      </c>
      <c r="C1" s="49">
        <v>20230044</v>
      </c>
      <c r="J1" s="81" t="s">
        <v>77</v>
      </c>
      <c r="K1" s="82" t="s">
        <v>78</v>
      </c>
    </row>
    <row r="2" spans="1:16" ht="21" customHeight="1" x14ac:dyDescent="0.25">
      <c r="B2" s="53" t="s">
        <v>79</v>
      </c>
      <c r="C2" s="53"/>
      <c r="D2" s="54" t="s">
        <v>158</v>
      </c>
      <c r="E2" s="55"/>
      <c r="F2" s="52" t="s">
        <v>35</v>
      </c>
      <c r="G2" s="98" t="s">
        <v>80</v>
      </c>
      <c r="H2" s="56"/>
      <c r="I2" s="56"/>
      <c r="J2" s="57"/>
      <c r="K2" s="56"/>
      <c r="L2" s="56"/>
      <c r="M2" s="56"/>
      <c r="N2" s="56"/>
      <c r="O2" s="56"/>
      <c r="P2" s="56"/>
    </row>
    <row r="3" spans="1:16" ht="21" customHeight="1" x14ac:dyDescent="0.25">
      <c r="B3" s="51"/>
      <c r="C3" s="51"/>
      <c r="D3" s="56" t="str">
        <f>IF(D2="","",D2)</f>
        <v>GL</v>
      </c>
      <c r="E3" s="55"/>
      <c r="F3" s="52" t="s">
        <v>35</v>
      </c>
      <c r="G3" s="58" t="s">
        <v>81</v>
      </c>
      <c r="H3" s="56"/>
      <c r="I3" s="56"/>
      <c r="J3" s="57"/>
      <c r="K3" s="56"/>
      <c r="L3" s="56"/>
      <c r="M3" s="56"/>
      <c r="N3" s="56"/>
      <c r="O3" s="56"/>
      <c r="P3" s="56"/>
    </row>
    <row r="4" spans="1:16" ht="21" hidden="1" customHeight="1" x14ac:dyDescent="0.25">
      <c r="B4" s="51"/>
      <c r="C4" s="51"/>
      <c r="D4" s="56" t="str">
        <f>IF(D2="","",D2)</f>
        <v>GL</v>
      </c>
      <c r="E4" s="55"/>
      <c r="F4" s="52" t="s">
        <v>35</v>
      </c>
      <c r="G4" s="59" t="s">
        <v>82</v>
      </c>
      <c r="H4" s="56"/>
      <c r="I4" s="56"/>
      <c r="J4" s="57"/>
      <c r="K4" s="56"/>
      <c r="L4" s="56"/>
      <c r="M4" s="56"/>
      <c r="N4" s="92"/>
      <c r="O4" s="92"/>
      <c r="P4" s="92"/>
    </row>
    <row r="5" spans="1:16" ht="21" hidden="1" customHeight="1" x14ac:dyDescent="0.25">
      <c r="B5" s="51"/>
      <c r="C5" s="51"/>
      <c r="D5" s="56" t="str">
        <f>IF(D2="","",D2)</f>
        <v>GL</v>
      </c>
      <c r="E5" s="55"/>
      <c r="F5" s="52" t="s">
        <v>35</v>
      </c>
      <c r="G5" s="60" t="s">
        <v>83</v>
      </c>
      <c r="H5" s="56"/>
      <c r="I5" s="56"/>
      <c r="J5" s="57"/>
      <c r="K5" s="56"/>
      <c r="L5" s="56"/>
      <c r="M5" s="56"/>
      <c r="N5" s="56"/>
      <c r="O5" s="56"/>
      <c r="P5" s="56"/>
    </row>
    <row r="6" spans="1:16" ht="21" hidden="1" customHeight="1" x14ac:dyDescent="0.25">
      <c r="B6" s="51"/>
      <c r="C6" s="51"/>
      <c r="D6" s="56" t="str">
        <f>IF(D2="","",D2)</f>
        <v>GL</v>
      </c>
      <c r="E6" s="55"/>
      <c r="F6" s="52" t="s">
        <v>35</v>
      </c>
      <c r="G6" s="61" t="s">
        <v>84</v>
      </c>
      <c r="H6" s="56"/>
      <c r="I6" s="56"/>
      <c r="J6" s="57"/>
      <c r="K6" s="56"/>
      <c r="L6" s="56"/>
      <c r="M6" s="56"/>
      <c r="N6" s="56"/>
      <c r="O6" s="56"/>
      <c r="P6" s="56"/>
    </row>
    <row r="7" spans="1:16" ht="21" customHeight="1" x14ac:dyDescent="0.25">
      <c r="B7" s="163" t="s">
        <v>85</v>
      </c>
      <c r="C7" s="163"/>
      <c r="D7" s="163"/>
      <c r="E7" s="163"/>
      <c r="F7" s="163"/>
      <c r="G7" s="62"/>
      <c r="H7" s="57"/>
      <c r="I7" s="56"/>
      <c r="J7" s="57"/>
      <c r="K7" s="56"/>
      <c r="L7" s="56"/>
      <c r="M7" s="56"/>
      <c r="N7" s="56"/>
      <c r="O7" s="56"/>
      <c r="P7" s="56"/>
    </row>
    <row r="8" spans="1:16" ht="21" customHeight="1" x14ac:dyDescent="0.25">
      <c r="B8" s="164" t="s">
        <v>120</v>
      </c>
      <c r="C8" s="164"/>
      <c r="D8" s="164"/>
      <c r="E8" s="164"/>
      <c r="F8" s="164"/>
      <c r="G8" s="51"/>
      <c r="H8" s="56"/>
      <c r="I8" s="56"/>
      <c r="J8" s="57"/>
      <c r="K8" s="56"/>
      <c r="L8" s="56"/>
      <c r="M8" s="56"/>
      <c r="N8" s="56"/>
      <c r="O8" s="56"/>
      <c r="P8" s="56"/>
    </row>
    <row r="9" spans="1:16" ht="52.9" customHeight="1" x14ac:dyDescent="0.15">
      <c r="A9" s="63" t="s">
        <v>86</v>
      </c>
      <c r="B9" s="63" t="s">
        <v>7</v>
      </c>
      <c r="C9" s="63" t="s">
        <v>87</v>
      </c>
      <c r="D9" s="63" t="s">
        <v>88</v>
      </c>
      <c r="E9" s="64" t="s">
        <v>89</v>
      </c>
      <c r="F9" s="64" t="s">
        <v>127</v>
      </c>
      <c r="G9" s="64" t="s">
        <v>134</v>
      </c>
      <c r="H9" s="64" t="s">
        <v>125</v>
      </c>
      <c r="I9" s="64" t="s">
        <v>126</v>
      </c>
      <c r="J9" s="64" t="s">
        <v>133</v>
      </c>
      <c r="K9" s="64" t="s">
        <v>90</v>
      </c>
      <c r="L9" s="64" t="s">
        <v>91</v>
      </c>
      <c r="M9" s="64" t="s">
        <v>92</v>
      </c>
      <c r="N9" s="64" t="s">
        <v>135</v>
      </c>
      <c r="O9" s="64" t="s">
        <v>157</v>
      </c>
      <c r="P9" s="64" t="s">
        <v>93</v>
      </c>
    </row>
    <row r="10" spans="1:16" ht="21" customHeight="1" x14ac:dyDescent="0.25">
      <c r="A10" s="65"/>
      <c r="B10" s="65"/>
      <c r="C10" s="66"/>
      <c r="D10" s="67"/>
      <c r="E10" s="68" t="str">
        <f>IF(C10="","",VLOOKUP(D10,データ!$A$2:$B$12,2,0))</f>
        <v/>
      </c>
      <c r="F10" s="67"/>
      <c r="G10" s="84"/>
      <c r="H10" s="67"/>
      <c r="I10" s="84"/>
      <c r="J10" s="91" t="str">
        <f t="shared" ref="J10:J31" si="0">IF(C10="","",F10-H10-E10)</f>
        <v/>
      </c>
      <c r="K10" s="69" t="str">
        <f t="shared" ref="K10:K31" si="1">IF(C10="","",IF(A10=1,$E$2-J10,IF(A10=2,$E$3-J10,IF(A10=3,$E$4-J10,IF(A10=4,$E$5-J10,$E$6-J10)))))</f>
        <v/>
      </c>
      <c r="L10" s="70" t="str">
        <f t="shared" ref="L10:L31" si="2">IF(C10="","",IF(D10="TNF-D",50,IF(D10="TNF-DD",50,IF(D10="FW/FG",100,(IF(ABS(K10)&gt;800,100,50))))))</f>
        <v/>
      </c>
      <c r="M10" s="93" t="str">
        <f t="shared" ref="M10:M31" si="3">IF(C10="","",IF(RIGHT(D10,4)="スロープ",CONCATENATE($D$2," ",TEXT(G10-H10-E10,"#,##0_ "),"mm→",TEXT(J10,"#,##0_ "),"mm (",C10,")"," (余掘: ",L10,"mm)"),IF(D10="TNF-D",CONCATENATE($D$2," ",TEXT(J10,"#,##0_ "),"mm (",C10,"の底面)"),IF(D10="TNF-DD",CONCATENATE($D$2," ",TEXT(J10,"#,##0_ "),"mm (",C10,"の底面)"),CONCATENATE($D$2," ",TEXT(J10,"#,##0_ "),"mm (",C10,")"," (余掘: ",L10,"mm)")))))</f>
        <v/>
      </c>
      <c r="N10" s="99" t="str">
        <f t="shared" ref="N10:N31" si="4">IF(C10="","",IF(D10="TNF-D",CONCATENATE($D$2," ",TEXT(F10-I10,"#,##0_ "),"mm→",TEXT(J10,"#,##0_ "),"mm (",C10,"の法面)"),IF(D10="TNF-DD",CONCATENATE($D$2," ",TEXT(F10-I10-50,"#,##0_ "),"mm→",TEXT(J10,"#,##0_ "),"mm (",C10,"の法面)"),"*")))</f>
        <v/>
      </c>
      <c r="O10" s="112" t="str">
        <f t="shared" ref="O10:O31" si="5">IF(C10="","",IF(D10="TNF-DD",CONCATENATE($D$2," ",TEXT(F10-I10-50,"#,##0_ "),"mm (",C10,"の基礎外周)"," (余掘: 50mm)"),"*"))</f>
        <v/>
      </c>
      <c r="P10" s="71" t="str">
        <f t="shared" ref="P10:P31" si="6">IF(K10&gt;0," ","Dont need to dig")</f>
        <v xml:space="preserve"> </v>
      </c>
    </row>
    <row r="11" spans="1:16" ht="21" customHeight="1" x14ac:dyDescent="0.25">
      <c r="A11" s="65"/>
      <c r="B11" s="65"/>
      <c r="C11" s="66"/>
      <c r="D11" s="67"/>
      <c r="E11" s="68" t="str">
        <f>IF(C11="","",VLOOKUP(D11,データ!$A$2:$B$12,2,0))</f>
        <v/>
      </c>
      <c r="F11" s="67"/>
      <c r="G11" s="84"/>
      <c r="H11" s="67"/>
      <c r="I11" s="84"/>
      <c r="J11" s="91" t="str">
        <f t="shared" si="0"/>
        <v/>
      </c>
      <c r="K11" s="69" t="str">
        <f t="shared" si="1"/>
        <v/>
      </c>
      <c r="L11" s="70" t="str">
        <f t="shared" si="2"/>
        <v/>
      </c>
      <c r="M11" s="93" t="str">
        <f t="shared" si="3"/>
        <v/>
      </c>
      <c r="N11" s="99" t="str">
        <f t="shared" si="4"/>
        <v/>
      </c>
      <c r="O11" s="112" t="str">
        <f t="shared" si="5"/>
        <v/>
      </c>
      <c r="P11" s="71" t="str">
        <f t="shared" si="6"/>
        <v xml:space="preserve"> </v>
      </c>
    </row>
    <row r="12" spans="1:16" ht="21" customHeight="1" x14ac:dyDescent="0.25">
      <c r="A12" s="65"/>
      <c r="B12" s="65"/>
      <c r="C12" s="66"/>
      <c r="D12" s="67"/>
      <c r="E12" s="68" t="str">
        <f>IF(C12="","",VLOOKUP(D12,データ!$A$2:$B$12,2,0))</f>
        <v/>
      </c>
      <c r="F12" s="67"/>
      <c r="G12" s="84"/>
      <c r="H12" s="67"/>
      <c r="I12" s="84"/>
      <c r="J12" s="91" t="str">
        <f t="shared" si="0"/>
        <v/>
      </c>
      <c r="K12" s="69" t="str">
        <f t="shared" si="1"/>
        <v/>
      </c>
      <c r="L12" s="70" t="str">
        <f t="shared" si="2"/>
        <v/>
      </c>
      <c r="M12" s="93" t="str">
        <f t="shared" si="3"/>
        <v/>
      </c>
      <c r="N12" s="99" t="str">
        <f t="shared" si="4"/>
        <v/>
      </c>
      <c r="O12" s="112" t="str">
        <f t="shared" si="5"/>
        <v/>
      </c>
      <c r="P12" s="71" t="str">
        <f t="shared" si="6"/>
        <v xml:space="preserve"> </v>
      </c>
    </row>
    <row r="13" spans="1:16" ht="21" customHeight="1" x14ac:dyDescent="0.25">
      <c r="A13" s="65"/>
      <c r="B13" s="65"/>
      <c r="C13" s="66"/>
      <c r="D13" s="67"/>
      <c r="E13" s="68" t="str">
        <f>IF(C13="","",VLOOKUP(D13,データ!$A$2:$B$12,2,0))</f>
        <v/>
      </c>
      <c r="F13" s="67"/>
      <c r="G13" s="84"/>
      <c r="H13" s="67"/>
      <c r="I13" s="84"/>
      <c r="J13" s="91" t="str">
        <f t="shared" si="0"/>
        <v/>
      </c>
      <c r="K13" s="69" t="str">
        <f t="shared" si="1"/>
        <v/>
      </c>
      <c r="L13" s="70" t="str">
        <f t="shared" si="2"/>
        <v/>
      </c>
      <c r="M13" s="93" t="str">
        <f t="shared" si="3"/>
        <v/>
      </c>
      <c r="N13" s="99" t="str">
        <f t="shared" si="4"/>
        <v/>
      </c>
      <c r="O13" s="112" t="str">
        <f t="shared" si="5"/>
        <v/>
      </c>
      <c r="P13" s="71" t="str">
        <f t="shared" si="6"/>
        <v xml:space="preserve"> </v>
      </c>
    </row>
    <row r="14" spans="1:16" ht="21" customHeight="1" x14ac:dyDescent="0.25">
      <c r="A14" s="65"/>
      <c r="B14" s="65"/>
      <c r="C14" s="66"/>
      <c r="D14" s="67"/>
      <c r="E14" s="68" t="str">
        <f>IF(C14="","",VLOOKUP(D14,データ!$A$2:$B$12,2,0))</f>
        <v/>
      </c>
      <c r="F14" s="67"/>
      <c r="G14" s="84"/>
      <c r="H14" s="67"/>
      <c r="I14" s="84"/>
      <c r="J14" s="91" t="str">
        <f t="shared" si="0"/>
        <v/>
      </c>
      <c r="K14" s="69" t="str">
        <f t="shared" si="1"/>
        <v/>
      </c>
      <c r="L14" s="70" t="str">
        <f t="shared" si="2"/>
        <v/>
      </c>
      <c r="M14" s="93" t="str">
        <f t="shared" si="3"/>
        <v/>
      </c>
      <c r="N14" s="99" t="str">
        <f t="shared" si="4"/>
        <v/>
      </c>
      <c r="O14" s="112" t="str">
        <f t="shared" si="5"/>
        <v/>
      </c>
      <c r="P14" s="71" t="str">
        <f t="shared" si="6"/>
        <v xml:space="preserve"> </v>
      </c>
    </row>
    <row r="15" spans="1:16" ht="21" customHeight="1" x14ac:dyDescent="0.25">
      <c r="A15" s="65"/>
      <c r="B15" s="65"/>
      <c r="C15" s="66"/>
      <c r="D15" s="67"/>
      <c r="E15" s="68" t="str">
        <f>IF(C15="","",VLOOKUP(D15,データ!$A$2:$B$12,2,0))</f>
        <v/>
      </c>
      <c r="F15" s="67"/>
      <c r="G15" s="84"/>
      <c r="H15" s="67"/>
      <c r="I15" s="84"/>
      <c r="J15" s="91" t="str">
        <f t="shared" si="0"/>
        <v/>
      </c>
      <c r="K15" s="69" t="str">
        <f t="shared" si="1"/>
        <v/>
      </c>
      <c r="L15" s="70" t="str">
        <f t="shared" si="2"/>
        <v/>
      </c>
      <c r="M15" s="93" t="str">
        <f t="shared" si="3"/>
        <v/>
      </c>
      <c r="N15" s="99" t="str">
        <f t="shared" si="4"/>
        <v/>
      </c>
      <c r="O15" s="112" t="str">
        <f t="shared" si="5"/>
        <v/>
      </c>
      <c r="P15" s="71" t="str">
        <f t="shared" si="6"/>
        <v xml:space="preserve"> </v>
      </c>
    </row>
    <row r="16" spans="1:16" ht="21" customHeight="1" x14ac:dyDescent="0.25">
      <c r="A16" s="65"/>
      <c r="B16" s="65"/>
      <c r="C16" s="66"/>
      <c r="D16" s="67"/>
      <c r="E16" s="68" t="str">
        <f>IF(C16="","",VLOOKUP(D16,データ!$A$2:$B$12,2,0))</f>
        <v/>
      </c>
      <c r="F16" s="67"/>
      <c r="G16" s="84"/>
      <c r="H16" s="67"/>
      <c r="I16" s="84"/>
      <c r="J16" s="91" t="str">
        <f t="shared" si="0"/>
        <v/>
      </c>
      <c r="K16" s="69" t="str">
        <f t="shared" si="1"/>
        <v/>
      </c>
      <c r="L16" s="70" t="str">
        <f t="shared" si="2"/>
        <v/>
      </c>
      <c r="M16" s="93" t="str">
        <f t="shared" si="3"/>
        <v/>
      </c>
      <c r="N16" s="99" t="str">
        <f t="shared" si="4"/>
        <v/>
      </c>
      <c r="O16" s="112" t="str">
        <f t="shared" si="5"/>
        <v/>
      </c>
      <c r="P16" s="71" t="str">
        <f t="shared" si="6"/>
        <v xml:space="preserve"> </v>
      </c>
    </row>
    <row r="17" spans="1:16" ht="21" customHeight="1" x14ac:dyDescent="0.25">
      <c r="A17" s="65"/>
      <c r="B17" s="65"/>
      <c r="C17" s="66"/>
      <c r="D17" s="67"/>
      <c r="E17" s="68" t="str">
        <f>IF(C17="","",VLOOKUP(D17,データ!$A$2:$B$12,2,0))</f>
        <v/>
      </c>
      <c r="F17" s="67"/>
      <c r="G17" s="84"/>
      <c r="H17" s="67"/>
      <c r="I17" s="84"/>
      <c r="J17" s="91" t="str">
        <f t="shared" si="0"/>
        <v/>
      </c>
      <c r="K17" s="69" t="str">
        <f t="shared" si="1"/>
        <v/>
      </c>
      <c r="L17" s="70" t="str">
        <f t="shared" si="2"/>
        <v/>
      </c>
      <c r="M17" s="93" t="str">
        <f t="shared" si="3"/>
        <v/>
      </c>
      <c r="N17" s="99" t="str">
        <f t="shared" si="4"/>
        <v/>
      </c>
      <c r="O17" s="112" t="str">
        <f t="shared" si="5"/>
        <v/>
      </c>
      <c r="P17" s="71" t="str">
        <f t="shared" si="6"/>
        <v xml:space="preserve"> </v>
      </c>
    </row>
    <row r="18" spans="1:16" ht="21" customHeight="1" x14ac:dyDescent="0.25">
      <c r="A18" s="65">
        <v>1</v>
      </c>
      <c r="B18" s="65"/>
      <c r="C18" s="66"/>
      <c r="D18" s="67"/>
      <c r="E18" s="68" t="str">
        <f>IF(C18="","",VLOOKUP(D18,データ!$A$2:$B$12,2,0))</f>
        <v/>
      </c>
      <c r="F18" s="67"/>
      <c r="G18" s="84"/>
      <c r="H18" s="67"/>
      <c r="I18" s="84"/>
      <c r="J18" s="91" t="str">
        <f t="shared" si="0"/>
        <v/>
      </c>
      <c r="K18" s="69" t="str">
        <f t="shared" si="1"/>
        <v/>
      </c>
      <c r="L18" s="70" t="str">
        <f t="shared" si="2"/>
        <v/>
      </c>
      <c r="M18" s="93" t="str">
        <f t="shared" si="3"/>
        <v/>
      </c>
      <c r="N18" s="99" t="str">
        <f t="shared" si="4"/>
        <v/>
      </c>
      <c r="O18" s="112" t="str">
        <f t="shared" si="5"/>
        <v/>
      </c>
      <c r="P18" s="71" t="str">
        <f t="shared" si="6"/>
        <v xml:space="preserve"> </v>
      </c>
    </row>
    <row r="19" spans="1:16" ht="21" customHeight="1" x14ac:dyDescent="0.25">
      <c r="A19" s="65">
        <v>1</v>
      </c>
      <c r="B19" s="65"/>
      <c r="C19" s="66"/>
      <c r="D19" s="67"/>
      <c r="E19" s="68" t="str">
        <f>IF(C19="","",VLOOKUP(D19,データ!$A$2:$B$12,2,0))</f>
        <v/>
      </c>
      <c r="F19" s="67"/>
      <c r="G19" s="84"/>
      <c r="H19" s="67"/>
      <c r="I19" s="84"/>
      <c r="J19" s="91" t="str">
        <f t="shared" si="0"/>
        <v/>
      </c>
      <c r="K19" s="69" t="str">
        <f>IF(C19="","",IF(A19=1,$E$2-J19,IF(A19=2,$E$3-J19,IF(A19=3,$E$4-J19,IF(A19=4,$E$5-J19,$E$6-J19)))))</f>
        <v/>
      </c>
      <c r="L19" s="70" t="str">
        <f t="shared" si="2"/>
        <v/>
      </c>
      <c r="M19" s="93" t="str">
        <f t="shared" si="3"/>
        <v/>
      </c>
      <c r="N19" s="99" t="str">
        <f t="shared" si="4"/>
        <v/>
      </c>
      <c r="O19" s="112" t="str">
        <f t="shared" si="5"/>
        <v/>
      </c>
      <c r="P19" s="71" t="str">
        <f t="shared" si="6"/>
        <v xml:space="preserve"> </v>
      </c>
    </row>
    <row r="20" spans="1:16" ht="21" customHeight="1" x14ac:dyDescent="0.25">
      <c r="A20" s="65">
        <v>1</v>
      </c>
      <c r="B20" s="65"/>
      <c r="C20" s="66"/>
      <c r="D20" s="67"/>
      <c r="E20" s="68" t="str">
        <f>IF(C20="","",VLOOKUP(D20,データ!$A$2:$B$12,2,0))</f>
        <v/>
      </c>
      <c r="F20" s="67"/>
      <c r="G20" s="84"/>
      <c r="H20" s="67"/>
      <c r="I20" s="84"/>
      <c r="J20" s="91" t="str">
        <f t="shared" si="0"/>
        <v/>
      </c>
      <c r="K20" s="69" t="str">
        <f t="shared" si="1"/>
        <v/>
      </c>
      <c r="L20" s="70" t="str">
        <f t="shared" si="2"/>
        <v/>
      </c>
      <c r="M20" s="93" t="str">
        <f t="shared" si="3"/>
        <v/>
      </c>
      <c r="N20" s="99" t="str">
        <f t="shared" si="4"/>
        <v/>
      </c>
      <c r="O20" s="112" t="str">
        <f t="shared" si="5"/>
        <v/>
      </c>
      <c r="P20" s="71" t="str">
        <f t="shared" si="6"/>
        <v xml:space="preserve"> </v>
      </c>
    </row>
    <row r="21" spans="1:16" ht="21" customHeight="1" x14ac:dyDescent="0.25">
      <c r="A21" s="65">
        <v>1</v>
      </c>
      <c r="B21" s="65"/>
      <c r="C21" s="66"/>
      <c r="D21" s="67"/>
      <c r="E21" s="68" t="str">
        <f>IF(C21="","",VLOOKUP(D21,データ!$A$2:$B$12,2,0))</f>
        <v/>
      </c>
      <c r="F21" s="67"/>
      <c r="G21" s="84"/>
      <c r="H21" s="67"/>
      <c r="I21" s="84"/>
      <c r="J21" s="91" t="str">
        <f t="shared" si="0"/>
        <v/>
      </c>
      <c r="K21" s="69" t="str">
        <f t="shared" si="1"/>
        <v/>
      </c>
      <c r="L21" s="70" t="str">
        <f t="shared" si="2"/>
        <v/>
      </c>
      <c r="M21" s="93" t="str">
        <f t="shared" si="3"/>
        <v/>
      </c>
      <c r="N21" s="99" t="str">
        <f t="shared" si="4"/>
        <v/>
      </c>
      <c r="O21" s="112" t="str">
        <f t="shared" si="5"/>
        <v/>
      </c>
      <c r="P21" s="71" t="str">
        <f t="shared" si="6"/>
        <v xml:space="preserve"> </v>
      </c>
    </row>
    <row r="22" spans="1:16" ht="21" customHeight="1" x14ac:dyDescent="0.25">
      <c r="A22" s="65">
        <v>1</v>
      </c>
      <c r="B22" s="65"/>
      <c r="C22" s="66"/>
      <c r="D22" s="67"/>
      <c r="E22" s="68" t="str">
        <f>IF(C22="","",VLOOKUP(D22,データ!$A$2:$B$12,2,0))</f>
        <v/>
      </c>
      <c r="F22" s="67"/>
      <c r="G22" s="84"/>
      <c r="H22" s="67"/>
      <c r="I22" s="84"/>
      <c r="J22" s="91" t="str">
        <f t="shared" si="0"/>
        <v/>
      </c>
      <c r="K22" s="69" t="str">
        <f t="shared" si="1"/>
        <v/>
      </c>
      <c r="L22" s="70" t="str">
        <f t="shared" si="2"/>
        <v/>
      </c>
      <c r="M22" s="93" t="str">
        <f t="shared" si="3"/>
        <v/>
      </c>
      <c r="N22" s="99" t="str">
        <f t="shared" si="4"/>
        <v/>
      </c>
      <c r="O22" s="112" t="str">
        <f t="shared" si="5"/>
        <v/>
      </c>
      <c r="P22" s="71" t="str">
        <f t="shared" si="6"/>
        <v xml:space="preserve"> </v>
      </c>
    </row>
    <row r="23" spans="1:16" ht="21" customHeight="1" x14ac:dyDescent="0.25">
      <c r="A23" s="65">
        <v>1</v>
      </c>
      <c r="B23" s="65"/>
      <c r="C23" s="66"/>
      <c r="D23" s="67"/>
      <c r="E23" s="68" t="str">
        <f>IF(C23="","",VLOOKUP(D23,データ!$A$2:$B$12,2,0))</f>
        <v/>
      </c>
      <c r="F23" s="67"/>
      <c r="G23" s="84"/>
      <c r="H23" s="67"/>
      <c r="I23" s="84"/>
      <c r="J23" s="91" t="str">
        <f t="shared" si="0"/>
        <v/>
      </c>
      <c r="K23" s="69" t="str">
        <f t="shared" si="1"/>
        <v/>
      </c>
      <c r="L23" s="70" t="str">
        <f t="shared" si="2"/>
        <v/>
      </c>
      <c r="M23" s="93" t="str">
        <f>IF(C23="","",IF(RIGHT(D23,4)="スロープ",CONCATENATE($D$2," ",TEXT(G23-H23-E23,"#,##0_ "),"mm→",TEXT(J23,"#,##0_ "),"mm (",C23,")"," (余掘: ",L23,"mm)"),IF(D23="TNF-D",CONCATENATE($D$2," ",TEXT(J23,"#,##0_ "),"mm (",C23,"の底面)"),IF(D23="TNF-DD",CONCATENATE($D$2," ",TEXT(J23,"#,##0_ "),"mm (",C23,"の底面)"),CONCATENATE($D$2," ",TEXT(J23,"#,##0_ "),"mm (",C23,")"," (余掘: ",L23,"mm)")))))</f>
        <v/>
      </c>
      <c r="N23" s="99" t="str">
        <f t="shared" si="4"/>
        <v/>
      </c>
      <c r="O23" s="112" t="str">
        <f t="shared" si="5"/>
        <v/>
      </c>
      <c r="P23" s="71" t="str">
        <f t="shared" si="6"/>
        <v xml:space="preserve"> </v>
      </c>
    </row>
    <row r="24" spans="1:16" ht="21" customHeight="1" x14ac:dyDescent="0.25">
      <c r="A24" s="65">
        <v>1</v>
      </c>
      <c r="B24" s="65"/>
      <c r="C24" s="66"/>
      <c r="D24" s="67"/>
      <c r="E24" s="68" t="str">
        <f>IF(C24="","",VLOOKUP(D24,データ!$A$2:$B$12,2,0))</f>
        <v/>
      </c>
      <c r="F24" s="67"/>
      <c r="G24" s="84"/>
      <c r="H24" s="67"/>
      <c r="I24" s="84"/>
      <c r="J24" s="91" t="str">
        <f t="shared" si="0"/>
        <v/>
      </c>
      <c r="K24" s="69" t="str">
        <f t="shared" si="1"/>
        <v/>
      </c>
      <c r="L24" s="70" t="str">
        <f t="shared" si="2"/>
        <v/>
      </c>
      <c r="M24" s="93" t="str">
        <f t="shared" si="3"/>
        <v/>
      </c>
      <c r="N24" s="99" t="str">
        <f t="shared" si="4"/>
        <v/>
      </c>
      <c r="O24" s="112" t="str">
        <f t="shared" si="5"/>
        <v/>
      </c>
      <c r="P24" s="71" t="str">
        <f t="shared" si="6"/>
        <v xml:space="preserve"> </v>
      </c>
    </row>
    <row r="25" spans="1:16" ht="21" customHeight="1" x14ac:dyDescent="0.25">
      <c r="A25" s="65">
        <v>1</v>
      </c>
      <c r="B25" s="65"/>
      <c r="C25" s="66"/>
      <c r="D25" s="67"/>
      <c r="E25" s="68" t="str">
        <f>IF(C25="","",VLOOKUP(D25,データ!$A$2:$B$12,2,0))</f>
        <v/>
      </c>
      <c r="F25" s="67"/>
      <c r="G25" s="84"/>
      <c r="H25" s="67"/>
      <c r="I25" s="84"/>
      <c r="J25" s="91" t="str">
        <f t="shared" si="0"/>
        <v/>
      </c>
      <c r="K25" s="69" t="str">
        <f t="shared" si="1"/>
        <v/>
      </c>
      <c r="L25" s="70" t="str">
        <f t="shared" si="2"/>
        <v/>
      </c>
      <c r="M25" s="93" t="str">
        <f t="shared" si="3"/>
        <v/>
      </c>
      <c r="N25" s="99" t="str">
        <f t="shared" si="4"/>
        <v/>
      </c>
      <c r="O25" s="112" t="str">
        <f t="shared" si="5"/>
        <v/>
      </c>
      <c r="P25" s="71" t="str">
        <f t="shared" si="6"/>
        <v xml:space="preserve"> </v>
      </c>
    </row>
    <row r="26" spans="1:16" ht="21" customHeight="1" x14ac:dyDescent="0.25">
      <c r="A26" s="65">
        <v>1</v>
      </c>
      <c r="B26" s="65"/>
      <c r="C26" s="66"/>
      <c r="D26" s="67"/>
      <c r="E26" s="68" t="str">
        <f>IF(C26="","",VLOOKUP(D26,データ!$A$2:$B$12,2,0))</f>
        <v/>
      </c>
      <c r="F26" s="67"/>
      <c r="G26" s="84"/>
      <c r="H26" s="67"/>
      <c r="I26" s="84"/>
      <c r="J26" s="91" t="str">
        <f t="shared" si="0"/>
        <v/>
      </c>
      <c r="K26" s="69" t="str">
        <f t="shared" si="1"/>
        <v/>
      </c>
      <c r="L26" s="70" t="str">
        <f t="shared" si="2"/>
        <v/>
      </c>
      <c r="M26" s="93" t="str">
        <f t="shared" si="3"/>
        <v/>
      </c>
      <c r="N26" s="99" t="str">
        <f t="shared" si="4"/>
        <v/>
      </c>
      <c r="O26" s="112" t="str">
        <f t="shared" si="5"/>
        <v/>
      </c>
      <c r="P26" s="71" t="str">
        <f t="shared" si="6"/>
        <v xml:space="preserve"> </v>
      </c>
    </row>
    <row r="27" spans="1:16" ht="21" customHeight="1" x14ac:dyDescent="0.25">
      <c r="A27" s="65">
        <v>1</v>
      </c>
      <c r="B27" s="65"/>
      <c r="C27" s="66"/>
      <c r="D27" s="67"/>
      <c r="E27" s="68" t="str">
        <f>IF(C27="","",VLOOKUP(D27,データ!$A$2:$B$12,2,0))</f>
        <v/>
      </c>
      <c r="F27" s="67"/>
      <c r="G27" s="84"/>
      <c r="H27" s="67"/>
      <c r="I27" s="84"/>
      <c r="J27" s="91" t="str">
        <f t="shared" si="0"/>
        <v/>
      </c>
      <c r="K27" s="69" t="str">
        <f t="shared" si="1"/>
        <v/>
      </c>
      <c r="L27" s="70" t="str">
        <f t="shared" si="2"/>
        <v/>
      </c>
      <c r="M27" s="93" t="str">
        <f t="shared" si="3"/>
        <v/>
      </c>
      <c r="N27" s="99" t="str">
        <f t="shared" si="4"/>
        <v/>
      </c>
      <c r="O27" s="112" t="str">
        <f t="shared" si="5"/>
        <v/>
      </c>
      <c r="P27" s="71" t="str">
        <f t="shared" si="6"/>
        <v xml:space="preserve"> </v>
      </c>
    </row>
    <row r="28" spans="1:16" ht="21" customHeight="1" x14ac:dyDescent="0.25">
      <c r="A28" s="65">
        <v>1</v>
      </c>
      <c r="B28" s="65"/>
      <c r="C28" s="66"/>
      <c r="D28" s="67"/>
      <c r="E28" s="68" t="str">
        <f>IF(C28="","",VLOOKUP(D28,データ!$A$2:$B$12,2,0))</f>
        <v/>
      </c>
      <c r="F28" s="67"/>
      <c r="G28" s="84"/>
      <c r="H28" s="67"/>
      <c r="I28" s="84"/>
      <c r="J28" s="91" t="str">
        <f t="shared" si="0"/>
        <v/>
      </c>
      <c r="K28" s="69" t="str">
        <f t="shared" si="1"/>
        <v/>
      </c>
      <c r="L28" s="70" t="str">
        <f t="shared" si="2"/>
        <v/>
      </c>
      <c r="M28" s="93" t="str">
        <f t="shared" si="3"/>
        <v/>
      </c>
      <c r="N28" s="99" t="str">
        <f t="shared" si="4"/>
        <v/>
      </c>
      <c r="O28" s="112" t="str">
        <f t="shared" si="5"/>
        <v/>
      </c>
      <c r="P28" s="71" t="str">
        <f t="shared" si="6"/>
        <v xml:space="preserve"> </v>
      </c>
    </row>
    <row r="29" spans="1:16" ht="21" customHeight="1" x14ac:dyDescent="0.25">
      <c r="A29" s="65">
        <v>1</v>
      </c>
      <c r="B29" s="65"/>
      <c r="C29" s="66"/>
      <c r="D29" s="67"/>
      <c r="E29" s="68" t="str">
        <f>IF(C29="","",VLOOKUP(D29,データ!$A$2:$B$12,2,0))</f>
        <v/>
      </c>
      <c r="F29" s="67"/>
      <c r="G29" s="84"/>
      <c r="H29" s="67"/>
      <c r="I29" s="84"/>
      <c r="J29" s="91" t="str">
        <f t="shared" si="0"/>
        <v/>
      </c>
      <c r="K29" s="69" t="str">
        <f t="shared" si="1"/>
        <v/>
      </c>
      <c r="L29" s="70" t="str">
        <f t="shared" si="2"/>
        <v/>
      </c>
      <c r="M29" s="93" t="str">
        <f t="shared" si="3"/>
        <v/>
      </c>
      <c r="N29" s="99" t="str">
        <f t="shared" si="4"/>
        <v/>
      </c>
      <c r="O29" s="112" t="str">
        <f t="shared" si="5"/>
        <v/>
      </c>
      <c r="P29" s="71" t="str">
        <f t="shared" si="6"/>
        <v xml:space="preserve"> </v>
      </c>
    </row>
    <row r="30" spans="1:16" ht="21" customHeight="1" x14ac:dyDescent="0.25">
      <c r="A30" s="65">
        <v>1</v>
      </c>
      <c r="B30" s="65"/>
      <c r="C30" s="66"/>
      <c r="D30" s="67"/>
      <c r="E30" s="68" t="str">
        <f>IF(C30="","",VLOOKUP(D30,データ!$A$2:$B$12,2,0))</f>
        <v/>
      </c>
      <c r="F30" s="67"/>
      <c r="G30" s="84"/>
      <c r="H30" s="67"/>
      <c r="I30" s="84"/>
      <c r="J30" s="91" t="str">
        <f t="shared" si="0"/>
        <v/>
      </c>
      <c r="K30" s="69" t="str">
        <f t="shared" si="1"/>
        <v/>
      </c>
      <c r="L30" s="70" t="str">
        <f t="shared" si="2"/>
        <v/>
      </c>
      <c r="M30" s="93" t="str">
        <f t="shared" si="3"/>
        <v/>
      </c>
      <c r="N30" s="99" t="str">
        <f t="shared" si="4"/>
        <v/>
      </c>
      <c r="O30" s="112" t="str">
        <f t="shared" si="5"/>
        <v/>
      </c>
      <c r="P30" s="71" t="str">
        <f t="shared" si="6"/>
        <v xml:space="preserve"> </v>
      </c>
    </row>
    <row r="31" spans="1:16" ht="21" customHeight="1" x14ac:dyDescent="0.25">
      <c r="A31" s="65">
        <v>1</v>
      </c>
      <c r="B31" s="65"/>
      <c r="C31" s="66"/>
      <c r="D31" s="67"/>
      <c r="E31" s="68" t="str">
        <f>IF(C31="","",VLOOKUP(D31,データ!$A$2:$B$12,2,0))</f>
        <v/>
      </c>
      <c r="F31" s="67"/>
      <c r="G31" s="84"/>
      <c r="H31" s="67"/>
      <c r="I31" s="84"/>
      <c r="J31" s="91" t="str">
        <f t="shared" si="0"/>
        <v/>
      </c>
      <c r="K31" s="69" t="str">
        <f t="shared" si="1"/>
        <v/>
      </c>
      <c r="L31" s="70" t="str">
        <f t="shared" si="2"/>
        <v/>
      </c>
      <c r="M31" s="93" t="str">
        <f t="shared" si="3"/>
        <v/>
      </c>
      <c r="N31" s="99" t="str">
        <f t="shared" si="4"/>
        <v/>
      </c>
      <c r="O31" s="112" t="str">
        <f t="shared" si="5"/>
        <v/>
      </c>
      <c r="P31" s="71" t="str">
        <f t="shared" si="6"/>
        <v xml:space="preserve"> </v>
      </c>
    </row>
    <row r="32" spans="1:16" ht="21" customHeight="1" x14ac:dyDescent="0.25">
      <c r="A32" s="65">
        <v>1</v>
      </c>
      <c r="B32" s="65"/>
      <c r="C32" s="66"/>
      <c r="D32" s="67"/>
      <c r="E32" s="68" t="str">
        <f>IF(C32="","",VLOOKUP(D32,データ!$A$2:$B$12,2,0))</f>
        <v/>
      </c>
      <c r="F32" s="67"/>
      <c r="G32" s="84"/>
      <c r="H32" s="67"/>
      <c r="I32" s="84"/>
      <c r="J32" s="91" t="str">
        <f t="shared" ref="J32:J48" si="7">IF(C32="","",F32-H32-E32)</f>
        <v/>
      </c>
      <c r="K32" s="69" t="str">
        <f t="shared" ref="K32:K48" si="8">IF(C32="","",IF(A32=1,$E$2-J32,IF(A32=2,$E$3-J32,IF(A32=3,$E$4-J32,IF(A32=4,$E$5-J32,$E$6-J32)))))</f>
        <v/>
      </c>
      <c r="L32" s="70" t="str">
        <f t="shared" ref="L32:L48" si="9">IF(C32="","",IF(D32="TNF-D",50,IF(D32="TNF-DD",50,IF(D32="FW/FG",100,(IF(ABS(K32)&gt;800,100,50))))))</f>
        <v/>
      </c>
      <c r="M32" s="93" t="str">
        <f t="shared" ref="M32:M48" si="10">IF(C32="","",IF(RIGHT(D32,4)="スロープ",CONCATENATE($D$2," ",TEXT(G32-H32-E32,"#,##0_ "),"mm→",TEXT(J32,"#,##0_ "),"mm (",C32,")"," (余掘: ",L32,"mm)"),IF(D32="TNF-D",CONCATENATE($D$2," ",TEXT(J32,"#,##0_ "),"mm (",C32,"の底面)"),IF(D32="TNF-DD",CONCATENATE($D$2," ",TEXT(J32,"#,##0_ "),"mm (",C32,"の底面)"),CONCATENATE($D$2," ",TEXT(J32,"#,##0_ "),"mm (",C32,")"," (余掘: ",L32,"mm)")))))</f>
        <v/>
      </c>
      <c r="N32" s="99" t="str">
        <f t="shared" ref="N32:N48" si="11">IF(C32="","",IF(D32="TNF-D",CONCATENATE($D$2," ",TEXT(F32-I32,"#,##0_ "),"mm→",TEXT(J32,"#,##0_ "),"mm (",C32,"の法面)"),IF(D32="TNF-DD",CONCATENATE($D$2," ",TEXT(F32-I32-50,"#,##0_ "),"mm→",TEXT(J32,"#,##0_ "),"mm (",C32,"の法面)"),"*")))</f>
        <v/>
      </c>
      <c r="O32" s="112" t="str">
        <f t="shared" ref="O32:O48" si="12">IF(C32="","",IF(D32="TNF-DD",CONCATENATE($D$2," ",TEXT(F32-I32-50,"#,##0_ "),"mm (",C32,"の基礎外周)"," (余掘: 50mm)"),"*"))</f>
        <v/>
      </c>
      <c r="P32" s="71" t="str">
        <f t="shared" ref="P32:P48" si="13">IF(K32&gt;0," ","Dont need to dig")</f>
        <v xml:space="preserve"> </v>
      </c>
    </row>
    <row r="33" spans="1:16" ht="21" customHeight="1" x14ac:dyDescent="0.25">
      <c r="A33" s="65">
        <v>1</v>
      </c>
      <c r="B33" s="65"/>
      <c r="C33" s="66"/>
      <c r="D33" s="67"/>
      <c r="E33" s="68" t="str">
        <f>IF(C33="","",VLOOKUP(D33,データ!$A$2:$B$12,2,0))</f>
        <v/>
      </c>
      <c r="F33" s="67"/>
      <c r="G33" s="84"/>
      <c r="H33" s="67"/>
      <c r="I33" s="84"/>
      <c r="J33" s="91" t="str">
        <f t="shared" si="7"/>
        <v/>
      </c>
      <c r="K33" s="69" t="str">
        <f t="shared" si="8"/>
        <v/>
      </c>
      <c r="L33" s="70" t="str">
        <f t="shared" si="9"/>
        <v/>
      </c>
      <c r="M33" s="93" t="str">
        <f t="shared" si="10"/>
        <v/>
      </c>
      <c r="N33" s="99" t="str">
        <f t="shared" si="11"/>
        <v/>
      </c>
      <c r="O33" s="112" t="str">
        <f t="shared" si="12"/>
        <v/>
      </c>
      <c r="P33" s="71" t="str">
        <f t="shared" si="13"/>
        <v xml:space="preserve"> </v>
      </c>
    </row>
    <row r="34" spans="1:16" ht="21" customHeight="1" x14ac:dyDescent="0.25">
      <c r="A34" s="65">
        <v>1</v>
      </c>
      <c r="B34" s="65"/>
      <c r="C34" s="66"/>
      <c r="D34" s="67"/>
      <c r="E34" s="68" t="str">
        <f>IF(C34="","",VLOOKUP(D34,データ!$A$2:$B$12,2,0))</f>
        <v/>
      </c>
      <c r="F34" s="67"/>
      <c r="G34" s="84"/>
      <c r="H34" s="67"/>
      <c r="I34" s="84"/>
      <c r="J34" s="91" t="str">
        <f t="shared" si="7"/>
        <v/>
      </c>
      <c r="K34" s="69" t="str">
        <f t="shared" si="8"/>
        <v/>
      </c>
      <c r="L34" s="70" t="str">
        <f t="shared" si="9"/>
        <v/>
      </c>
      <c r="M34" s="93" t="str">
        <f t="shared" si="10"/>
        <v/>
      </c>
      <c r="N34" s="99" t="str">
        <f t="shared" si="11"/>
        <v/>
      </c>
      <c r="O34" s="112" t="str">
        <f t="shared" si="12"/>
        <v/>
      </c>
      <c r="P34" s="71" t="str">
        <f t="shared" si="13"/>
        <v xml:space="preserve"> </v>
      </c>
    </row>
    <row r="35" spans="1:16" ht="21" customHeight="1" x14ac:dyDescent="0.25">
      <c r="A35" s="65">
        <v>1</v>
      </c>
      <c r="B35" s="65"/>
      <c r="C35" s="66"/>
      <c r="D35" s="67"/>
      <c r="E35" s="68" t="str">
        <f>IF(C35="","",VLOOKUP(D35,データ!$A$2:$B$12,2,0))</f>
        <v/>
      </c>
      <c r="F35" s="67"/>
      <c r="G35" s="84"/>
      <c r="H35" s="67"/>
      <c r="I35" s="84"/>
      <c r="J35" s="91" t="str">
        <f t="shared" si="7"/>
        <v/>
      </c>
      <c r="K35" s="69" t="str">
        <f t="shared" si="8"/>
        <v/>
      </c>
      <c r="L35" s="70" t="str">
        <f t="shared" si="9"/>
        <v/>
      </c>
      <c r="M35" s="93" t="str">
        <f t="shared" si="10"/>
        <v/>
      </c>
      <c r="N35" s="99" t="str">
        <f t="shared" si="11"/>
        <v/>
      </c>
      <c r="O35" s="112" t="str">
        <f t="shared" si="12"/>
        <v/>
      </c>
      <c r="P35" s="71" t="str">
        <f t="shared" si="13"/>
        <v xml:space="preserve"> </v>
      </c>
    </row>
    <row r="36" spans="1:16" ht="21" customHeight="1" x14ac:dyDescent="0.25">
      <c r="A36" s="65">
        <v>1</v>
      </c>
      <c r="B36" s="65"/>
      <c r="C36" s="66"/>
      <c r="D36" s="67"/>
      <c r="E36" s="68" t="str">
        <f>IF(C36="","",VLOOKUP(D36,データ!$A$2:$B$12,2,0))</f>
        <v/>
      </c>
      <c r="F36" s="67"/>
      <c r="G36" s="84"/>
      <c r="H36" s="67"/>
      <c r="I36" s="84"/>
      <c r="J36" s="91" t="str">
        <f t="shared" si="7"/>
        <v/>
      </c>
      <c r="K36" s="69" t="str">
        <f t="shared" si="8"/>
        <v/>
      </c>
      <c r="L36" s="70" t="str">
        <f t="shared" si="9"/>
        <v/>
      </c>
      <c r="M36" s="93" t="str">
        <f t="shared" si="10"/>
        <v/>
      </c>
      <c r="N36" s="99" t="str">
        <f t="shared" si="11"/>
        <v/>
      </c>
      <c r="O36" s="112" t="str">
        <f t="shared" si="12"/>
        <v/>
      </c>
      <c r="P36" s="71" t="str">
        <f t="shared" si="13"/>
        <v xml:space="preserve"> </v>
      </c>
    </row>
    <row r="37" spans="1:16" ht="21" customHeight="1" x14ac:dyDescent="0.25">
      <c r="A37" s="65">
        <v>1</v>
      </c>
      <c r="B37" s="65"/>
      <c r="C37" s="66"/>
      <c r="D37" s="67"/>
      <c r="E37" s="68" t="str">
        <f>IF(C37="","",VLOOKUP(D37,データ!$A$2:$B$12,2,0))</f>
        <v/>
      </c>
      <c r="F37" s="67"/>
      <c r="G37" s="84"/>
      <c r="H37" s="67"/>
      <c r="I37" s="84"/>
      <c r="J37" s="91" t="str">
        <f t="shared" si="7"/>
        <v/>
      </c>
      <c r="K37" s="69" t="str">
        <f t="shared" si="8"/>
        <v/>
      </c>
      <c r="L37" s="70" t="str">
        <f t="shared" si="9"/>
        <v/>
      </c>
      <c r="M37" s="93" t="str">
        <f t="shared" si="10"/>
        <v/>
      </c>
      <c r="N37" s="99" t="str">
        <f t="shared" si="11"/>
        <v/>
      </c>
      <c r="O37" s="112" t="str">
        <f t="shared" si="12"/>
        <v/>
      </c>
      <c r="P37" s="71" t="str">
        <f t="shared" si="13"/>
        <v xml:space="preserve"> </v>
      </c>
    </row>
    <row r="38" spans="1:16" ht="21" customHeight="1" x14ac:dyDescent="0.25">
      <c r="A38" s="65">
        <v>1</v>
      </c>
      <c r="B38" s="65"/>
      <c r="C38" s="66"/>
      <c r="D38" s="67"/>
      <c r="E38" s="68" t="str">
        <f>IF(C38="","",VLOOKUP(D38,データ!$A$2:$B$12,2,0))</f>
        <v/>
      </c>
      <c r="F38" s="67"/>
      <c r="G38" s="84"/>
      <c r="H38" s="67"/>
      <c r="I38" s="84"/>
      <c r="J38" s="91" t="str">
        <f t="shared" si="7"/>
        <v/>
      </c>
      <c r="K38" s="69" t="str">
        <f t="shared" si="8"/>
        <v/>
      </c>
      <c r="L38" s="70" t="str">
        <f t="shared" si="9"/>
        <v/>
      </c>
      <c r="M38" s="93" t="str">
        <f t="shared" si="10"/>
        <v/>
      </c>
      <c r="N38" s="99" t="str">
        <f t="shared" si="11"/>
        <v/>
      </c>
      <c r="O38" s="112" t="str">
        <f t="shared" si="12"/>
        <v/>
      </c>
      <c r="P38" s="71" t="str">
        <f t="shared" si="13"/>
        <v xml:space="preserve"> </v>
      </c>
    </row>
    <row r="39" spans="1:16" ht="21" customHeight="1" x14ac:dyDescent="0.25">
      <c r="A39" s="65">
        <v>1</v>
      </c>
      <c r="B39" s="65"/>
      <c r="C39" s="66"/>
      <c r="D39" s="67"/>
      <c r="E39" s="68" t="str">
        <f>IF(C39="","",VLOOKUP(D39,データ!$A$2:$B$12,2,0))</f>
        <v/>
      </c>
      <c r="F39" s="67"/>
      <c r="G39" s="84"/>
      <c r="H39" s="67"/>
      <c r="I39" s="84"/>
      <c r="J39" s="91" t="str">
        <f t="shared" si="7"/>
        <v/>
      </c>
      <c r="K39" s="69" t="str">
        <f t="shared" si="8"/>
        <v/>
      </c>
      <c r="L39" s="70" t="str">
        <f t="shared" si="9"/>
        <v/>
      </c>
      <c r="M39" s="93" t="str">
        <f t="shared" si="10"/>
        <v/>
      </c>
      <c r="N39" s="99" t="str">
        <f t="shared" si="11"/>
        <v/>
      </c>
      <c r="O39" s="112" t="str">
        <f t="shared" si="12"/>
        <v/>
      </c>
      <c r="P39" s="71" t="str">
        <f t="shared" si="13"/>
        <v xml:space="preserve"> </v>
      </c>
    </row>
    <row r="40" spans="1:16" ht="21" customHeight="1" x14ac:dyDescent="0.25">
      <c r="A40" s="65">
        <v>1</v>
      </c>
      <c r="B40" s="65"/>
      <c r="C40" s="66"/>
      <c r="D40" s="67"/>
      <c r="E40" s="68" t="str">
        <f>IF(C40="","",VLOOKUP(D40,データ!$A$2:$B$12,2,0))</f>
        <v/>
      </c>
      <c r="F40" s="67"/>
      <c r="G40" s="84"/>
      <c r="H40" s="67"/>
      <c r="I40" s="84"/>
      <c r="J40" s="91" t="str">
        <f t="shared" si="7"/>
        <v/>
      </c>
      <c r="K40" s="69" t="str">
        <f t="shared" si="8"/>
        <v/>
      </c>
      <c r="L40" s="70" t="str">
        <f t="shared" si="9"/>
        <v/>
      </c>
      <c r="M40" s="93" t="str">
        <f t="shared" si="10"/>
        <v/>
      </c>
      <c r="N40" s="99" t="str">
        <f t="shared" si="11"/>
        <v/>
      </c>
      <c r="O40" s="112" t="str">
        <f t="shared" si="12"/>
        <v/>
      </c>
      <c r="P40" s="71" t="str">
        <f t="shared" si="13"/>
        <v xml:space="preserve"> </v>
      </c>
    </row>
    <row r="41" spans="1:16" ht="21" customHeight="1" x14ac:dyDescent="0.25">
      <c r="A41" s="65">
        <v>1</v>
      </c>
      <c r="B41" s="65"/>
      <c r="C41" s="66"/>
      <c r="D41" s="67"/>
      <c r="E41" s="68" t="str">
        <f>IF(C41="","",VLOOKUP(D41,データ!$A$2:$B$12,2,0))</f>
        <v/>
      </c>
      <c r="F41" s="67"/>
      <c r="G41" s="84"/>
      <c r="H41" s="67"/>
      <c r="I41" s="84"/>
      <c r="J41" s="91" t="str">
        <f t="shared" si="7"/>
        <v/>
      </c>
      <c r="K41" s="69" t="str">
        <f t="shared" si="8"/>
        <v/>
      </c>
      <c r="L41" s="70" t="str">
        <f t="shared" si="9"/>
        <v/>
      </c>
      <c r="M41" s="93" t="str">
        <f t="shared" si="10"/>
        <v/>
      </c>
      <c r="N41" s="99" t="str">
        <f t="shared" si="11"/>
        <v/>
      </c>
      <c r="O41" s="112" t="str">
        <f t="shared" si="12"/>
        <v/>
      </c>
      <c r="P41" s="71" t="str">
        <f t="shared" si="13"/>
        <v xml:space="preserve"> </v>
      </c>
    </row>
    <row r="42" spans="1:16" ht="21" customHeight="1" x14ac:dyDescent="0.25">
      <c r="A42" s="65">
        <v>1</v>
      </c>
      <c r="B42" s="65"/>
      <c r="C42" s="66"/>
      <c r="D42" s="67"/>
      <c r="E42" s="68" t="str">
        <f>IF(C42="","",VLOOKUP(D42,データ!$A$2:$B$12,2,0))</f>
        <v/>
      </c>
      <c r="F42" s="67"/>
      <c r="G42" s="84"/>
      <c r="H42" s="67"/>
      <c r="I42" s="84"/>
      <c r="J42" s="91" t="str">
        <f t="shared" si="7"/>
        <v/>
      </c>
      <c r="K42" s="69" t="str">
        <f t="shared" si="8"/>
        <v/>
      </c>
      <c r="L42" s="70" t="str">
        <f t="shared" si="9"/>
        <v/>
      </c>
      <c r="M42" s="93" t="str">
        <f t="shared" si="10"/>
        <v/>
      </c>
      <c r="N42" s="99" t="str">
        <f t="shared" si="11"/>
        <v/>
      </c>
      <c r="O42" s="112" t="str">
        <f t="shared" si="12"/>
        <v/>
      </c>
      <c r="P42" s="71" t="str">
        <f t="shared" si="13"/>
        <v xml:space="preserve"> </v>
      </c>
    </row>
    <row r="43" spans="1:16" ht="21" customHeight="1" x14ac:dyDescent="0.25">
      <c r="A43" s="65">
        <v>1</v>
      </c>
      <c r="B43" s="65"/>
      <c r="C43" s="66"/>
      <c r="D43" s="67"/>
      <c r="E43" s="68" t="str">
        <f>IF(C43="","",VLOOKUP(D43,データ!$A$2:$B$12,2,0))</f>
        <v/>
      </c>
      <c r="F43" s="67"/>
      <c r="G43" s="84"/>
      <c r="H43" s="67"/>
      <c r="I43" s="84"/>
      <c r="J43" s="91" t="str">
        <f t="shared" si="7"/>
        <v/>
      </c>
      <c r="K43" s="69" t="str">
        <f t="shared" si="8"/>
        <v/>
      </c>
      <c r="L43" s="70" t="str">
        <f t="shared" si="9"/>
        <v/>
      </c>
      <c r="M43" s="93" t="str">
        <f t="shared" si="10"/>
        <v/>
      </c>
      <c r="N43" s="99" t="str">
        <f t="shared" si="11"/>
        <v/>
      </c>
      <c r="O43" s="112" t="str">
        <f t="shared" si="12"/>
        <v/>
      </c>
      <c r="P43" s="71" t="str">
        <f t="shared" si="13"/>
        <v xml:space="preserve"> </v>
      </c>
    </row>
    <row r="44" spans="1:16" ht="21" customHeight="1" x14ac:dyDescent="0.25">
      <c r="A44" s="65">
        <v>1</v>
      </c>
      <c r="B44" s="65"/>
      <c r="C44" s="66"/>
      <c r="D44" s="67"/>
      <c r="E44" s="68" t="str">
        <f>IF(C44="","",VLOOKUP(D44,データ!$A$2:$B$12,2,0))</f>
        <v/>
      </c>
      <c r="F44" s="67"/>
      <c r="G44" s="84"/>
      <c r="H44" s="67"/>
      <c r="I44" s="84"/>
      <c r="J44" s="91" t="str">
        <f t="shared" si="7"/>
        <v/>
      </c>
      <c r="K44" s="69" t="str">
        <f t="shared" si="8"/>
        <v/>
      </c>
      <c r="L44" s="70" t="str">
        <f t="shared" si="9"/>
        <v/>
      </c>
      <c r="M44" s="93" t="str">
        <f t="shared" si="10"/>
        <v/>
      </c>
      <c r="N44" s="99" t="str">
        <f t="shared" si="11"/>
        <v/>
      </c>
      <c r="O44" s="112" t="str">
        <f t="shared" si="12"/>
        <v/>
      </c>
      <c r="P44" s="71" t="str">
        <f t="shared" si="13"/>
        <v xml:space="preserve"> </v>
      </c>
    </row>
    <row r="45" spans="1:16" ht="21" customHeight="1" x14ac:dyDescent="0.25">
      <c r="A45" s="65">
        <v>1</v>
      </c>
      <c r="B45" s="65"/>
      <c r="C45" s="66"/>
      <c r="D45" s="67"/>
      <c r="E45" s="68" t="str">
        <f>IF(C45="","",VLOOKUP(D45,データ!$A$2:$B$12,2,0))</f>
        <v/>
      </c>
      <c r="F45" s="67"/>
      <c r="G45" s="84"/>
      <c r="H45" s="67"/>
      <c r="I45" s="84"/>
      <c r="J45" s="91" t="str">
        <f t="shared" si="7"/>
        <v/>
      </c>
      <c r="K45" s="69" t="str">
        <f t="shared" si="8"/>
        <v/>
      </c>
      <c r="L45" s="70" t="str">
        <f t="shared" si="9"/>
        <v/>
      </c>
      <c r="M45" s="93" t="str">
        <f t="shared" si="10"/>
        <v/>
      </c>
      <c r="N45" s="99" t="str">
        <f t="shared" si="11"/>
        <v/>
      </c>
      <c r="O45" s="112" t="str">
        <f t="shared" si="12"/>
        <v/>
      </c>
      <c r="P45" s="71" t="str">
        <f t="shared" si="13"/>
        <v xml:space="preserve"> </v>
      </c>
    </row>
    <row r="46" spans="1:16" ht="21" customHeight="1" x14ac:dyDescent="0.25">
      <c r="A46" s="65">
        <v>1</v>
      </c>
      <c r="B46" s="65"/>
      <c r="C46" s="66"/>
      <c r="D46" s="67"/>
      <c r="E46" s="68" t="str">
        <f>IF(C46="","",VLOOKUP(D46,データ!$A$2:$B$12,2,0))</f>
        <v/>
      </c>
      <c r="F46" s="67"/>
      <c r="G46" s="84"/>
      <c r="H46" s="67"/>
      <c r="I46" s="84"/>
      <c r="J46" s="91" t="str">
        <f t="shared" si="7"/>
        <v/>
      </c>
      <c r="K46" s="69" t="str">
        <f t="shared" si="8"/>
        <v/>
      </c>
      <c r="L46" s="70" t="str">
        <f t="shared" si="9"/>
        <v/>
      </c>
      <c r="M46" s="93" t="str">
        <f t="shared" si="10"/>
        <v/>
      </c>
      <c r="N46" s="99" t="str">
        <f t="shared" si="11"/>
        <v/>
      </c>
      <c r="O46" s="112" t="str">
        <f t="shared" si="12"/>
        <v/>
      </c>
      <c r="P46" s="71" t="str">
        <f t="shared" si="13"/>
        <v xml:space="preserve"> </v>
      </c>
    </row>
    <row r="47" spans="1:16" ht="21" customHeight="1" x14ac:dyDescent="0.25">
      <c r="A47" s="65">
        <v>1</v>
      </c>
      <c r="B47" s="65"/>
      <c r="C47" s="66"/>
      <c r="D47" s="67"/>
      <c r="E47" s="68" t="str">
        <f>IF(C47="","",VLOOKUP(D47,データ!$A$2:$B$12,2,0))</f>
        <v/>
      </c>
      <c r="F47" s="67"/>
      <c r="G47" s="84"/>
      <c r="H47" s="67"/>
      <c r="I47" s="84"/>
      <c r="J47" s="91" t="str">
        <f t="shared" si="7"/>
        <v/>
      </c>
      <c r="K47" s="69" t="str">
        <f t="shared" si="8"/>
        <v/>
      </c>
      <c r="L47" s="70" t="str">
        <f t="shared" si="9"/>
        <v/>
      </c>
      <c r="M47" s="93" t="str">
        <f t="shared" si="10"/>
        <v/>
      </c>
      <c r="N47" s="99" t="str">
        <f t="shared" si="11"/>
        <v/>
      </c>
      <c r="O47" s="112" t="str">
        <f t="shared" si="12"/>
        <v/>
      </c>
      <c r="P47" s="71" t="str">
        <f t="shared" si="13"/>
        <v xml:space="preserve"> </v>
      </c>
    </row>
    <row r="48" spans="1:16" ht="21" customHeight="1" x14ac:dyDescent="0.25">
      <c r="A48" s="65">
        <v>1</v>
      </c>
      <c r="B48" s="65"/>
      <c r="C48" s="66"/>
      <c r="D48" s="67"/>
      <c r="E48" s="68" t="str">
        <f>IF(C48="","",VLOOKUP(D48,データ!$A$2:$B$12,2,0))</f>
        <v/>
      </c>
      <c r="F48" s="67"/>
      <c r="G48" s="84"/>
      <c r="H48" s="67"/>
      <c r="I48" s="84"/>
      <c r="J48" s="91" t="str">
        <f t="shared" si="7"/>
        <v/>
      </c>
      <c r="K48" s="69" t="str">
        <f t="shared" si="8"/>
        <v/>
      </c>
      <c r="L48" s="70" t="str">
        <f t="shared" si="9"/>
        <v/>
      </c>
      <c r="M48" s="93" t="str">
        <f t="shared" si="10"/>
        <v/>
      </c>
      <c r="N48" s="99" t="str">
        <f t="shared" si="11"/>
        <v/>
      </c>
      <c r="O48" s="112" t="str">
        <f t="shared" si="12"/>
        <v/>
      </c>
      <c r="P48" s="71" t="str">
        <f t="shared" si="13"/>
        <v xml:space="preserve"> </v>
      </c>
    </row>
  </sheetData>
  <autoFilter ref="A9:P23" xr:uid="{00000000-0009-0000-0000-000000000000}">
    <sortState xmlns:xlrd2="http://schemas.microsoft.com/office/spreadsheetml/2017/richdata2" ref="A10:P48">
      <sortCondition descending="1" ref="J9:J23"/>
    </sortState>
  </autoFilter>
  <mergeCells count="2">
    <mergeCell ref="B7:F7"/>
    <mergeCell ref="B8:F8"/>
  </mergeCells>
  <phoneticPr fontId="9"/>
  <conditionalFormatting sqref="A10:D48">
    <cfRule type="expression" dxfId="7" priority="6">
      <formula>IF($A10=5,TRUE)</formula>
    </cfRule>
    <cfRule type="expression" dxfId="6" priority="7">
      <formula>IF($A10=4,TRUE)</formula>
    </cfRule>
    <cfRule type="expression" dxfId="5" priority="8">
      <formula>IF($A10=3,TRUE)</formula>
    </cfRule>
    <cfRule type="expression" dxfId="4" priority="9">
      <formula>IF($A10=2,TRUE)</formula>
    </cfRule>
  </conditionalFormatting>
  <conditionalFormatting sqref="C1 D2 E2:E6">
    <cfRule type="notContainsBlanks" dxfId="3" priority="1">
      <formula>LEN(TRIM(C1))&gt;0</formula>
    </cfRule>
  </conditionalFormatting>
  <conditionalFormatting sqref="G10:G48">
    <cfRule type="expression" dxfId="2" priority="5">
      <formula>OR($D10="土間スロープ",$D10="FW/FGスロープ")</formula>
    </cfRule>
  </conditionalFormatting>
  <conditionalFormatting sqref="I10:I48">
    <cfRule type="expression" dxfId="1" priority="3">
      <formula>IF(OR($D10="TNF-D",$D10="TNF-DD"),TRUE)</formula>
    </cfRule>
  </conditionalFormatting>
  <conditionalFormatting sqref="J10:J48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0:P48">
    <cfRule type="notContainsBlanks" dxfId="0" priority="10">
      <formula>LEN(TRIM(P10))&gt;0</formula>
    </cfRule>
  </conditionalFormatting>
  <pageMargins left="0.7" right="0.7" top="0.75" bottom="0.75" header="0.3" footer="0.3"/>
  <pageSetup paperSize="9" scale="41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E8CCA9-39A3-4512-8704-22BE30B320EC}">
          <x14:formula1>
            <xm:f>データ!$A$18:$A$21</xm:f>
          </x14:formula1>
          <xm:sqref>D2</xm:sqref>
        </x14:dataValidation>
        <x14:dataValidation type="list" allowBlank="1" showInputMessage="1" showErrorMessage="1" xr:uid="{C3A11986-6B20-41A5-BC0F-8F4A67712CE6}">
          <x14:formula1>
            <xm:f>データ!$A$2:$A$12</xm:f>
          </x14:formula1>
          <xm:sqref>D10:D48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45CB5-68AA-4B65-9DD2-8DA4CE45DA6C}">
  <sheetPr>
    <tabColor rgb="FFFFC000"/>
  </sheetPr>
  <dimension ref="A1:H35"/>
  <sheetViews>
    <sheetView view="pageBreakPreview" zoomScaleNormal="100" zoomScaleSheetLayoutView="100" workbookViewId="0">
      <selection activeCell="B17" sqref="B17:H17"/>
    </sheetView>
  </sheetViews>
  <sheetFormatPr defaultRowHeight="13.5" x14ac:dyDescent="0.15"/>
  <cols>
    <col min="2" max="3" width="11.25" customWidth="1"/>
    <col min="4" max="5" width="11.125" customWidth="1"/>
    <col min="6" max="6" width="11.25" customWidth="1"/>
    <col min="8" max="8" width="11.75" customWidth="1"/>
  </cols>
  <sheetData>
    <row r="1" spans="1:8" ht="28.5" customHeight="1" x14ac:dyDescent="0.15">
      <c r="A1" s="168" t="s">
        <v>98</v>
      </c>
      <c r="B1" s="169"/>
      <c r="C1" s="169"/>
      <c r="D1" s="169"/>
      <c r="E1" s="169"/>
      <c r="F1" s="169"/>
      <c r="G1" s="169"/>
      <c r="H1" s="170"/>
    </row>
    <row r="2" spans="1:8" ht="16.5" customHeight="1" x14ac:dyDescent="0.2">
      <c r="A2" s="72"/>
      <c r="B2" s="73" t="s">
        <v>99</v>
      </c>
      <c r="C2" s="73" t="s">
        <v>100</v>
      </c>
      <c r="D2" s="73" t="s">
        <v>101</v>
      </c>
      <c r="E2" s="73" t="s">
        <v>100</v>
      </c>
      <c r="F2" s="73" t="s">
        <v>99</v>
      </c>
      <c r="G2" s="73"/>
      <c r="H2" s="74" t="s">
        <v>102</v>
      </c>
    </row>
    <row r="3" spans="1:8" ht="16.5" customHeight="1" x14ac:dyDescent="0.2">
      <c r="A3" s="72"/>
      <c r="B3" s="73"/>
      <c r="C3" s="73"/>
      <c r="D3" s="73"/>
      <c r="E3" s="73"/>
      <c r="F3" s="73"/>
      <c r="G3" s="73"/>
      <c r="H3" s="74"/>
    </row>
    <row r="4" spans="1:8" ht="16.5" customHeight="1" x14ac:dyDescent="0.2">
      <c r="A4" s="72" t="s">
        <v>103</v>
      </c>
      <c r="B4" s="75"/>
      <c r="C4" s="76"/>
      <c r="D4" s="77"/>
      <c r="E4" s="78">
        <f>C4</f>
        <v>0</v>
      </c>
      <c r="F4" s="79">
        <f>B4</f>
        <v>0</v>
      </c>
      <c r="G4" s="73"/>
      <c r="H4" s="74" t="str">
        <f>IF(D4="","",SUM(B4:F4))</f>
        <v/>
      </c>
    </row>
    <row r="5" spans="1:8" ht="16.5" customHeight="1" x14ac:dyDescent="0.2">
      <c r="A5" s="72"/>
      <c r="B5" s="165"/>
      <c r="C5" s="166"/>
      <c r="D5" s="166"/>
      <c r="E5" s="166"/>
      <c r="F5" s="166"/>
      <c r="G5" s="166"/>
      <c r="H5" s="167"/>
    </row>
    <row r="6" spans="1:8" ht="16.5" customHeight="1" x14ac:dyDescent="0.2">
      <c r="A6" s="72" t="s">
        <v>104</v>
      </c>
      <c r="B6" s="75"/>
      <c r="C6" s="76"/>
      <c r="D6" s="77"/>
      <c r="E6" s="78">
        <f>C6</f>
        <v>0</v>
      </c>
      <c r="F6" s="79">
        <f>B6</f>
        <v>0</v>
      </c>
      <c r="G6" s="73"/>
      <c r="H6" s="74" t="str">
        <f>IF(D6="","",SUM(B6:F6))</f>
        <v/>
      </c>
    </row>
    <row r="7" spans="1:8" ht="16.5" customHeight="1" x14ac:dyDescent="0.2">
      <c r="A7" s="72"/>
      <c r="B7" s="165"/>
      <c r="C7" s="166"/>
      <c r="D7" s="166"/>
      <c r="E7" s="166"/>
      <c r="F7" s="166"/>
      <c r="G7" s="166"/>
      <c r="H7" s="167"/>
    </row>
    <row r="8" spans="1:8" ht="16.5" customHeight="1" x14ac:dyDescent="0.2">
      <c r="A8" s="72" t="s">
        <v>105</v>
      </c>
      <c r="B8" s="75"/>
      <c r="C8" s="76"/>
      <c r="D8" s="77"/>
      <c r="E8" s="78">
        <f>C8</f>
        <v>0</v>
      </c>
      <c r="F8" s="79">
        <f>B8</f>
        <v>0</v>
      </c>
      <c r="G8" s="73"/>
      <c r="H8" s="74" t="str">
        <f>IF(D8="","",SUM(B8:F8))</f>
        <v/>
      </c>
    </row>
    <row r="9" spans="1:8" ht="16.5" customHeight="1" x14ac:dyDescent="0.2">
      <c r="A9" s="72"/>
      <c r="B9" s="165"/>
      <c r="C9" s="166"/>
      <c r="D9" s="166"/>
      <c r="E9" s="166"/>
      <c r="F9" s="166"/>
      <c r="G9" s="166"/>
      <c r="H9" s="167"/>
    </row>
    <row r="10" spans="1:8" ht="16.5" customHeight="1" x14ac:dyDescent="0.2">
      <c r="A10" s="72" t="s">
        <v>106</v>
      </c>
      <c r="B10" s="75"/>
      <c r="C10" s="76"/>
      <c r="D10" s="77"/>
      <c r="E10" s="78">
        <f>C10</f>
        <v>0</v>
      </c>
      <c r="F10" s="79">
        <f>B10</f>
        <v>0</v>
      </c>
      <c r="G10" s="73"/>
      <c r="H10" s="74" t="str">
        <f>IF(D10="","",SUM(B10:F10))</f>
        <v/>
      </c>
    </row>
    <row r="11" spans="1:8" ht="16.5" customHeight="1" x14ac:dyDescent="0.2">
      <c r="A11" s="72"/>
      <c r="B11" s="165"/>
      <c r="C11" s="166"/>
      <c r="D11" s="166"/>
      <c r="E11" s="166"/>
      <c r="F11" s="166"/>
      <c r="G11" s="166"/>
      <c r="H11" s="167"/>
    </row>
    <row r="12" spans="1:8" ht="16.5" customHeight="1" x14ac:dyDescent="0.2">
      <c r="A12" s="72" t="s">
        <v>107</v>
      </c>
      <c r="B12" s="75"/>
      <c r="C12" s="76"/>
      <c r="D12" s="77"/>
      <c r="E12" s="78">
        <f>C12</f>
        <v>0</v>
      </c>
      <c r="F12" s="79">
        <f>B12</f>
        <v>0</v>
      </c>
      <c r="G12" s="73"/>
      <c r="H12" s="74" t="str">
        <f>IF(D12="","",SUM(B12:F12))</f>
        <v/>
      </c>
    </row>
    <row r="13" spans="1:8" ht="16.5" customHeight="1" x14ac:dyDescent="0.2">
      <c r="A13" s="72"/>
      <c r="B13" s="165"/>
      <c r="C13" s="166"/>
      <c r="D13" s="166"/>
      <c r="E13" s="166"/>
      <c r="F13" s="166"/>
      <c r="G13" s="166"/>
      <c r="H13" s="167"/>
    </row>
    <row r="14" spans="1:8" ht="16.5" customHeight="1" x14ac:dyDescent="0.2">
      <c r="A14" s="72" t="s">
        <v>108</v>
      </c>
      <c r="B14" s="75"/>
      <c r="C14" s="76"/>
      <c r="D14" s="77"/>
      <c r="E14" s="78">
        <f>C14</f>
        <v>0</v>
      </c>
      <c r="F14" s="79">
        <f>B14</f>
        <v>0</v>
      </c>
      <c r="G14" s="73"/>
      <c r="H14" s="74" t="str">
        <f>IF(D14="","",SUM(B14:F14))</f>
        <v/>
      </c>
    </row>
    <row r="15" spans="1:8" ht="16.5" customHeight="1" x14ac:dyDescent="0.2">
      <c r="A15" s="72"/>
      <c r="B15" s="165"/>
      <c r="C15" s="166"/>
      <c r="D15" s="166"/>
      <c r="E15" s="166"/>
      <c r="F15" s="166"/>
      <c r="G15" s="166"/>
      <c r="H15" s="167"/>
    </row>
    <row r="16" spans="1:8" ht="16.5" customHeight="1" x14ac:dyDescent="0.2">
      <c r="A16" s="72" t="s">
        <v>109</v>
      </c>
      <c r="B16" s="75"/>
      <c r="C16" s="76"/>
      <c r="D16" s="77"/>
      <c r="E16" s="78">
        <f>C16</f>
        <v>0</v>
      </c>
      <c r="F16" s="79">
        <f>B16</f>
        <v>0</v>
      </c>
      <c r="G16" s="73"/>
      <c r="H16" s="74" t="str">
        <f>IF(D16="","",SUM(B16:F16))</f>
        <v/>
      </c>
    </row>
    <row r="17" spans="1:8" ht="16.5" customHeight="1" x14ac:dyDescent="0.2">
      <c r="A17" s="72"/>
      <c r="B17" s="165"/>
      <c r="C17" s="166"/>
      <c r="D17" s="166"/>
      <c r="E17" s="166"/>
      <c r="F17" s="166"/>
      <c r="G17" s="166"/>
      <c r="H17" s="167"/>
    </row>
    <row r="18" spans="1:8" ht="16.5" customHeight="1" x14ac:dyDescent="0.2">
      <c r="A18" s="72" t="s">
        <v>110</v>
      </c>
      <c r="B18" s="75"/>
      <c r="C18" s="76"/>
      <c r="D18" s="77"/>
      <c r="E18" s="78">
        <f>C18</f>
        <v>0</v>
      </c>
      <c r="F18" s="79">
        <f>B18</f>
        <v>0</v>
      </c>
      <c r="G18" s="73"/>
      <c r="H18" s="74" t="str">
        <f>IF(D18="","",SUM(B18:F18))</f>
        <v/>
      </c>
    </row>
    <row r="19" spans="1:8" ht="16.5" customHeight="1" x14ac:dyDescent="0.2">
      <c r="A19" s="72"/>
      <c r="B19" s="165"/>
      <c r="C19" s="166"/>
      <c r="D19" s="166"/>
      <c r="E19" s="166"/>
      <c r="F19" s="166"/>
      <c r="G19" s="166"/>
      <c r="H19" s="167"/>
    </row>
    <row r="20" spans="1:8" ht="16.5" customHeight="1" x14ac:dyDescent="0.2">
      <c r="A20" s="72" t="s">
        <v>111</v>
      </c>
      <c r="B20" s="75"/>
      <c r="C20" s="76"/>
      <c r="D20" s="77"/>
      <c r="E20" s="78">
        <f>C20</f>
        <v>0</v>
      </c>
      <c r="F20" s="79">
        <f>B20</f>
        <v>0</v>
      </c>
      <c r="G20" s="73"/>
      <c r="H20" s="74" t="str">
        <f>IF(D20="","",SUM(B20:F20))</f>
        <v/>
      </c>
    </row>
    <row r="21" spans="1:8" ht="16.5" customHeight="1" x14ac:dyDescent="0.2">
      <c r="A21" s="72"/>
      <c r="B21" s="165"/>
      <c r="C21" s="166"/>
      <c r="D21" s="166"/>
      <c r="E21" s="166"/>
      <c r="F21" s="166"/>
      <c r="G21" s="166"/>
      <c r="H21" s="167"/>
    </row>
    <row r="22" spans="1:8" ht="16.5" customHeight="1" x14ac:dyDescent="0.2">
      <c r="A22" s="72" t="s">
        <v>112</v>
      </c>
      <c r="B22" s="75"/>
      <c r="C22" s="76"/>
      <c r="D22" s="77"/>
      <c r="E22" s="78">
        <f>C22</f>
        <v>0</v>
      </c>
      <c r="F22" s="79">
        <f>B22</f>
        <v>0</v>
      </c>
      <c r="G22" s="73"/>
      <c r="H22" s="74" t="str">
        <f>IF(D22="","",SUM(B22:F22))</f>
        <v/>
      </c>
    </row>
    <row r="23" spans="1:8" ht="16.5" customHeight="1" x14ac:dyDescent="0.2">
      <c r="A23" s="72"/>
      <c r="B23" s="165"/>
      <c r="C23" s="166"/>
      <c r="D23" s="166"/>
      <c r="E23" s="166"/>
      <c r="F23" s="166"/>
      <c r="G23" s="166"/>
      <c r="H23" s="167"/>
    </row>
    <row r="24" spans="1:8" ht="16.5" customHeight="1" x14ac:dyDescent="0.2">
      <c r="A24" s="72" t="s">
        <v>113</v>
      </c>
      <c r="B24" s="75"/>
      <c r="C24" s="76"/>
      <c r="D24" s="77"/>
      <c r="E24" s="78">
        <f>C24</f>
        <v>0</v>
      </c>
      <c r="F24" s="79">
        <f>B24</f>
        <v>0</v>
      </c>
      <c r="G24" s="73"/>
      <c r="H24" s="74" t="str">
        <f>IF(D24="","",SUM(B24:F24))</f>
        <v/>
      </c>
    </row>
    <row r="25" spans="1:8" ht="16.5" customHeight="1" x14ac:dyDescent="0.2">
      <c r="A25" s="72"/>
      <c r="B25" s="165"/>
      <c r="C25" s="166"/>
      <c r="D25" s="166"/>
      <c r="E25" s="166"/>
      <c r="F25" s="166"/>
      <c r="G25" s="166"/>
      <c r="H25" s="167"/>
    </row>
    <row r="26" spans="1:8" ht="16.5" customHeight="1" x14ac:dyDescent="0.2">
      <c r="A26" s="72" t="s">
        <v>114</v>
      </c>
      <c r="B26" s="75"/>
      <c r="C26" s="76"/>
      <c r="D26" s="77"/>
      <c r="E26" s="78">
        <f>C26</f>
        <v>0</v>
      </c>
      <c r="F26" s="79">
        <f>B26</f>
        <v>0</v>
      </c>
      <c r="G26" s="73"/>
      <c r="H26" s="74" t="str">
        <f>IF(D26="","",SUM(B26:F26))</f>
        <v/>
      </c>
    </row>
    <row r="27" spans="1:8" ht="16.5" customHeight="1" x14ac:dyDescent="0.2">
      <c r="A27" s="72"/>
      <c r="B27" s="165"/>
      <c r="C27" s="166"/>
      <c r="D27" s="166"/>
      <c r="E27" s="166"/>
      <c r="F27" s="166"/>
      <c r="G27" s="166"/>
      <c r="H27" s="167"/>
    </row>
    <row r="28" spans="1:8" ht="16.5" customHeight="1" x14ac:dyDescent="0.2">
      <c r="A28" s="72" t="s">
        <v>115</v>
      </c>
      <c r="B28" s="75"/>
      <c r="C28" s="76"/>
      <c r="D28" s="77"/>
      <c r="E28" s="78">
        <f>C28</f>
        <v>0</v>
      </c>
      <c r="F28" s="79">
        <f>B28</f>
        <v>0</v>
      </c>
      <c r="G28" s="73"/>
      <c r="H28" s="74" t="str">
        <f>IF(D28="","",SUM(B28:F28))</f>
        <v/>
      </c>
    </row>
    <row r="29" spans="1:8" ht="16.5" customHeight="1" x14ac:dyDescent="0.2">
      <c r="A29" s="72"/>
      <c r="B29" s="165"/>
      <c r="C29" s="166"/>
      <c r="D29" s="166"/>
      <c r="E29" s="166"/>
      <c r="F29" s="166"/>
      <c r="G29" s="166"/>
      <c r="H29" s="167"/>
    </row>
    <row r="30" spans="1:8" ht="16.5" customHeight="1" x14ac:dyDescent="0.2">
      <c r="A30" s="72" t="s">
        <v>116</v>
      </c>
      <c r="B30" s="75"/>
      <c r="C30" s="76"/>
      <c r="D30" s="77"/>
      <c r="E30" s="78">
        <f>C30</f>
        <v>0</v>
      </c>
      <c r="F30" s="79">
        <f>B30</f>
        <v>0</v>
      </c>
      <c r="G30" s="73"/>
      <c r="H30" s="74" t="str">
        <f>IF(D30="","",SUM(B30:F30))</f>
        <v/>
      </c>
    </row>
    <row r="31" spans="1:8" ht="14.25" x14ac:dyDescent="0.2">
      <c r="A31" s="72"/>
      <c r="B31" s="165"/>
      <c r="C31" s="166"/>
      <c r="D31" s="166"/>
      <c r="E31" s="166"/>
      <c r="F31" s="166"/>
      <c r="G31" s="166"/>
      <c r="H31" s="167"/>
    </row>
    <row r="32" spans="1:8" ht="16.5" customHeight="1" x14ac:dyDescent="0.2">
      <c r="A32" s="72" t="s">
        <v>117</v>
      </c>
      <c r="B32" s="75"/>
      <c r="C32" s="76"/>
      <c r="D32" s="77"/>
      <c r="E32" s="78">
        <f>C32</f>
        <v>0</v>
      </c>
      <c r="F32" s="79">
        <f>B32</f>
        <v>0</v>
      </c>
      <c r="G32" s="73"/>
      <c r="H32" s="74" t="str">
        <f>IF(D32="","",SUM(B32:F32))</f>
        <v/>
      </c>
    </row>
    <row r="33" spans="1:8" ht="14.25" x14ac:dyDescent="0.2">
      <c r="A33" s="72"/>
      <c r="B33" s="165"/>
      <c r="C33" s="166"/>
      <c r="D33" s="166"/>
      <c r="E33" s="166"/>
      <c r="F33" s="166"/>
      <c r="G33" s="166"/>
      <c r="H33" s="167"/>
    </row>
    <row r="34" spans="1:8" ht="16.5" customHeight="1" x14ac:dyDescent="0.2">
      <c r="A34" s="72" t="s">
        <v>118</v>
      </c>
      <c r="B34" s="75"/>
      <c r="C34" s="76"/>
      <c r="D34" s="77"/>
      <c r="E34" s="78">
        <f>C34</f>
        <v>0</v>
      </c>
      <c r="F34" s="79">
        <f>B34</f>
        <v>0</v>
      </c>
      <c r="G34" s="73"/>
      <c r="H34" s="74" t="str">
        <f>IF(D34="","",SUM(B34:F34))</f>
        <v/>
      </c>
    </row>
    <row r="35" spans="1:8" ht="15" thickBot="1" x14ac:dyDescent="0.25">
      <c r="A35" s="80"/>
      <c r="B35" s="171"/>
      <c r="C35" s="172"/>
      <c r="D35" s="172"/>
      <c r="E35" s="172"/>
      <c r="F35" s="172"/>
      <c r="G35" s="172"/>
      <c r="H35" s="173"/>
    </row>
  </sheetData>
  <mergeCells count="17">
    <mergeCell ref="B27:H27"/>
    <mergeCell ref="B29:H29"/>
    <mergeCell ref="B31:H31"/>
    <mergeCell ref="B33:H33"/>
    <mergeCell ref="B35:H35"/>
    <mergeCell ref="B25:H25"/>
    <mergeCell ref="A1:H1"/>
    <mergeCell ref="B5:H5"/>
    <mergeCell ref="B7:H7"/>
    <mergeCell ref="B9:H9"/>
    <mergeCell ref="B11:H11"/>
    <mergeCell ref="B13:H13"/>
    <mergeCell ref="B15:H15"/>
    <mergeCell ref="B17:H17"/>
    <mergeCell ref="B19:H19"/>
    <mergeCell ref="B21:H21"/>
    <mergeCell ref="B23:H23"/>
  </mergeCells>
  <phoneticPr fontId="9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100F9-B35C-465D-A76F-DDA87C076958}">
  <dimension ref="A1:B22"/>
  <sheetViews>
    <sheetView workbookViewId="0">
      <selection activeCell="C11" sqref="C11"/>
    </sheetView>
  </sheetViews>
  <sheetFormatPr defaultRowHeight="13.5" x14ac:dyDescent="0.15"/>
  <cols>
    <col min="1" max="1" width="15.25" style="83" customWidth="1"/>
    <col min="2" max="2" width="11.125" style="83" customWidth="1"/>
  </cols>
  <sheetData>
    <row r="1" spans="1:2" ht="14.25" thickBot="1" x14ac:dyDescent="0.2"/>
    <row r="2" spans="1:2" x14ac:dyDescent="0.15">
      <c r="A2" s="85" t="s">
        <v>94</v>
      </c>
      <c r="B2" s="86">
        <v>100</v>
      </c>
    </row>
    <row r="3" spans="1:2" x14ac:dyDescent="0.15">
      <c r="A3" s="110" t="s">
        <v>156</v>
      </c>
      <c r="B3" s="111">
        <v>100</v>
      </c>
    </row>
    <row r="4" spans="1:2" x14ac:dyDescent="0.15">
      <c r="A4" s="87" t="s">
        <v>95</v>
      </c>
      <c r="B4" s="88">
        <v>50</v>
      </c>
    </row>
    <row r="5" spans="1:2" x14ac:dyDescent="0.15">
      <c r="A5" s="87" t="s">
        <v>129</v>
      </c>
      <c r="B5" s="88">
        <v>50</v>
      </c>
    </row>
    <row r="6" spans="1:2" x14ac:dyDescent="0.15">
      <c r="A6" s="87" t="s">
        <v>121</v>
      </c>
      <c r="B6" s="88">
        <v>100</v>
      </c>
    </row>
    <row r="7" spans="1:2" x14ac:dyDescent="0.15">
      <c r="A7" s="87" t="s">
        <v>130</v>
      </c>
      <c r="B7" s="88">
        <v>50</v>
      </c>
    </row>
    <row r="8" spans="1:2" x14ac:dyDescent="0.15">
      <c r="A8" s="87" t="s">
        <v>131</v>
      </c>
      <c r="B8" s="88">
        <v>0</v>
      </c>
    </row>
    <row r="9" spans="1:2" x14ac:dyDescent="0.15">
      <c r="A9" s="87" t="s">
        <v>128</v>
      </c>
      <c r="B9" s="88">
        <v>0</v>
      </c>
    </row>
    <row r="10" spans="1:2" x14ac:dyDescent="0.15">
      <c r="A10" s="87" t="s">
        <v>132</v>
      </c>
      <c r="B10" s="88">
        <v>50</v>
      </c>
    </row>
    <row r="11" spans="1:2" x14ac:dyDescent="0.15">
      <c r="A11" s="87" t="s">
        <v>122</v>
      </c>
      <c r="B11" s="88">
        <v>50</v>
      </c>
    </row>
    <row r="12" spans="1:2" ht="14.25" thickBot="1" x14ac:dyDescent="0.2">
      <c r="A12" s="89" t="s">
        <v>123</v>
      </c>
      <c r="B12" s="90">
        <v>100</v>
      </c>
    </row>
    <row r="17" spans="1:1" ht="14.25" thickBot="1" x14ac:dyDescent="0.2"/>
    <row r="18" spans="1:1" x14ac:dyDescent="0.15">
      <c r="A18" s="95" t="s">
        <v>96</v>
      </c>
    </row>
    <row r="19" spans="1:1" x14ac:dyDescent="0.15">
      <c r="A19" s="96" t="s">
        <v>97</v>
      </c>
    </row>
    <row r="20" spans="1:1" x14ac:dyDescent="0.15">
      <c r="A20" s="96" t="s">
        <v>124</v>
      </c>
    </row>
    <row r="21" spans="1:1" x14ac:dyDescent="0.15">
      <c r="A21" s="96" t="s">
        <v>119</v>
      </c>
    </row>
    <row r="22" spans="1:1" ht="14.25" thickBot="1" x14ac:dyDescent="0.2">
      <c r="A22" s="97"/>
    </row>
  </sheetData>
  <phoneticPr fontId="9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DBDB21AC3B2CA438FF809C1C6DE2E1F" ma:contentTypeVersion="10" ma:contentTypeDescription="新しいドキュメントを作成します。" ma:contentTypeScope="" ma:versionID="89d9119225766ccdaa0c302c45cf1cce">
  <xsd:schema xmlns:xsd="http://www.w3.org/2001/XMLSchema" xmlns:xs="http://www.w3.org/2001/XMLSchema" xmlns:p="http://schemas.microsoft.com/office/2006/metadata/properties" xmlns:ns2="0931c1a8-1497-48b4-a237-410e356a3603" xmlns:ns3="efe319b9-dd5a-4413-85e1-ff55eb90313f" targetNamespace="http://schemas.microsoft.com/office/2006/metadata/properties" ma:root="true" ma:fieldsID="815d2d27f363021fd562e4eb05a0bc4d" ns2:_="" ns3:_="">
    <xsd:import namespace="0931c1a8-1497-48b4-a237-410e356a3603"/>
    <xsd:import namespace="efe319b9-dd5a-4413-85e1-ff55eb9031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31c1a8-1497-48b4-a237-410e356a36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319b9-dd5a-4413-85e1-ff55eb90313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77EA08-F6A0-4321-AE39-F16579A154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6F9CDB-2268-48BB-93E5-6D8F39AEF6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31c1a8-1497-48b4-a237-410e356a3603"/>
    <ds:schemaRef ds:uri="efe319b9-dd5a-4413-85e1-ff55eb9031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85004-6461-481D-9C09-56FB6E44533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同時_h=m</vt:lpstr>
      <vt:lpstr>一次二次_h=m</vt:lpstr>
      <vt:lpstr>一次二次_h=m </vt:lpstr>
      <vt:lpstr>一次二次_h2=0.8m</vt:lpstr>
      <vt:lpstr>一次二次_h=0.7m</vt:lpstr>
      <vt:lpstr>一次二次_h=0.5m </vt:lpstr>
      <vt:lpstr>掘削深度_Templete</vt:lpstr>
      <vt:lpstr>Check Long Rebar</vt:lpstr>
      <vt:lpstr>データ</vt:lpstr>
      <vt:lpstr>'Check Long Rebar'!Print_Area</vt:lpstr>
      <vt:lpstr>'一次二次_h=0.5m '!Print_Area</vt:lpstr>
      <vt:lpstr>'一次二次_h=0.7m'!Print_Area</vt:lpstr>
      <vt:lpstr>'一次二次_h=m'!Print_Area</vt:lpstr>
      <vt:lpstr>'一次二次_h=m '!Print_Area</vt:lpstr>
      <vt:lpstr>'一次二次_h2=0.8m'!Print_Area</vt:lpstr>
      <vt:lpstr>掘削深度_Templete!Print_Area</vt:lpstr>
      <vt:lpstr>'同時_h=m'!Print_Area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</dc:creator>
  <cp:keywords/>
  <dc:description/>
  <cp:lastModifiedBy>VINA TAKEUCHI / Phan Van Tri / ヴァンチ</cp:lastModifiedBy>
  <cp:revision/>
  <dcterms:created xsi:type="dcterms:W3CDTF">2019-02-19T04:20:11Z</dcterms:created>
  <dcterms:modified xsi:type="dcterms:W3CDTF">2025-12-10T06:07:53Z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0x010100DDBDB21AC3B2CA438FF809C1C6DE2E1F</vt:lpwstr>
  </property>
</Properties>
</file>